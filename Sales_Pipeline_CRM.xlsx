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peline" sheetId="1" state="visible" r:id="rId3"/>
    <sheet name="Funnel Summary" sheetId="2" state="visible" r:id="rId4"/>
    <sheet name="Lead Source Analysis" sheetId="3" state="visible" r:id="rId5"/>
    <sheet name="Sales Rep Leaderboard" sheetId="4" state="visible" r:id="rId6"/>
    <sheet name="BANT Matrix" sheetId="5" state="visible" r:id="rId7"/>
    <sheet name="Lost Reason Analys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<sst xmlns="http://schemas.openxmlformats.org/spreadsheetml/2006/main" count="7569" uniqueCount="1752">
  <si>
    <t xml:space="preserve">Lead ID</t>
  </si>
  <si>
    <t xml:space="preserve">Company Name</t>
  </si>
  <si>
    <t xml:space="preserve">Industry</t>
  </si>
  <si>
    <t xml:space="preserve">Company Size</t>
  </si>
  <si>
    <t xml:space="preserve">Contact Name</t>
  </si>
  <si>
    <t xml:space="preserve">Contact Title</t>
  </si>
  <si>
    <t xml:space="preserve">Email</t>
  </si>
  <si>
    <t xml:space="preserve">Lead Source</t>
  </si>
  <si>
    <t xml:space="preserve">Date Created</t>
  </si>
  <si>
    <t xml:space="preserve">Sales Rep</t>
  </si>
  <si>
    <t xml:space="preserve">Budget Score</t>
  </si>
  <si>
    <t xml:space="preserve">Authority Score</t>
  </si>
  <si>
    <t xml:space="preserve">Need Score</t>
  </si>
  <si>
    <t xml:space="preserve">Timeline Score</t>
  </si>
  <si>
    <t xml:space="preserve">BANT Total</t>
  </si>
  <si>
    <t xml:space="preserve">Qualified? (15+)</t>
  </si>
  <si>
    <t xml:space="preserve">Stage</t>
  </si>
  <si>
    <t xml:space="preserve">Deal Value (INR)</t>
  </si>
  <si>
    <t xml:space="preserve">Win Probability %</t>
  </si>
  <si>
    <t xml:space="preserve">Weighted Value (INR)</t>
  </si>
  <si>
    <t xml:space="preserve">Expected Close Date</t>
  </si>
  <si>
    <t xml:space="preserve">Actual Close Date</t>
  </si>
  <si>
    <t xml:space="preserve">Days in Pipeline</t>
  </si>
  <si>
    <t xml:space="preserve">Lost Reason</t>
  </si>
  <si>
    <t xml:space="preserve">LD2001</t>
  </si>
  <si>
    <t xml:space="preserve">Vertex Traders</t>
  </si>
  <si>
    <t xml:space="preserve">Retail</t>
  </si>
  <si>
    <t xml:space="preserve">Small (1-50)</t>
  </si>
  <si>
    <t xml:space="preserve">Tanya</t>
  </si>
  <si>
    <t xml:space="preserve">VP Sales</t>
  </si>
  <si>
    <t xml:space="preserve">tanya@vertex.com</t>
  </si>
  <si>
    <t xml:space="preserve">Partner Channel</t>
  </si>
  <si>
    <t xml:space="preserve">28-11-2025</t>
  </si>
  <si>
    <t xml:space="preserve">Divya Nair</t>
  </si>
  <si>
    <t xml:space="preserve">Closed Won</t>
  </si>
  <si>
    <t xml:space="preserve">14-01-2026</t>
  </si>
  <si>
    <t xml:space="preserve">07-01-2026</t>
  </si>
  <si>
    <t xml:space="preserve">LD2002</t>
  </si>
  <si>
    <t xml:space="preserve">Bluepeak Retail</t>
  </si>
  <si>
    <t xml:space="preserve">FMCG</t>
  </si>
  <si>
    <t xml:space="preserve">Kabir</t>
  </si>
  <si>
    <t xml:space="preserve">Procurement Manager</t>
  </si>
  <si>
    <t xml:space="preserve">kabir@bluepeak.com</t>
  </si>
  <si>
    <t xml:space="preserve">Referral</t>
  </si>
  <si>
    <t xml:space="preserve">11-02-2026</t>
  </si>
  <si>
    <t xml:space="preserve">Rohit Malhotra</t>
  </si>
  <si>
    <t xml:space="preserve">Closed Lost</t>
  </si>
  <si>
    <t xml:space="preserve">17-04-2026</t>
  </si>
  <si>
    <t xml:space="preserve">23-03-2026</t>
  </si>
  <si>
    <t xml:space="preserve">Budget too high</t>
  </si>
  <si>
    <t xml:space="preserve">LD2003</t>
  </si>
  <si>
    <t xml:space="preserve">Bluepeak Solutions</t>
  </si>
  <si>
    <t xml:space="preserve">Healthcare</t>
  </si>
  <si>
    <t xml:space="preserve">Mid-Market (51-500)</t>
  </si>
  <si>
    <t xml:space="preserve">Pooja</t>
  </si>
  <si>
    <t xml:space="preserve">COO</t>
  </si>
  <si>
    <t xml:space="preserve">pooja@bluepeak.com</t>
  </si>
  <si>
    <t xml:space="preserve">LinkedIn Outreach</t>
  </si>
  <si>
    <t xml:space="preserve">14-03-2026</t>
  </si>
  <si>
    <t xml:space="preserve">Sneha Iyer</t>
  </si>
  <si>
    <t xml:space="preserve">Contacted</t>
  </si>
  <si>
    <t xml:space="preserve">18-04-2026</t>
  </si>
  <si>
    <t xml:space="preserve">LD2004</t>
  </si>
  <si>
    <t xml:space="preserve">Crestline Enterprises</t>
  </si>
  <si>
    <t xml:space="preserve">Enterprise (500+)</t>
  </si>
  <si>
    <t xml:space="preserve">Kavya</t>
  </si>
  <si>
    <t xml:space="preserve">kavya@crestline.com</t>
  </si>
  <si>
    <t xml:space="preserve">Inbound - Website</t>
  </si>
  <si>
    <t xml:space="preserve">05-04-2026</t>
  </si>
  <si>
    <t xml:space="preserve">Karan Bhatia</t>
  </si>
  <si>
    <t xml:space="preserve">Proposal Sent</t>
  </si>
  <si>
    <t xml:space="preserve">16-06-2026</t>
  </si>
  <si>
    <t xml:space="preserve">LD2005</t>
  </si>
  <si>
    <t xml:space="preserve">Nova Mart</t>
  </si>
  <si>
    <t xml:space="preserve">E-commerce</t>
  </si>
  <si>
    <t xml:space="preserve">Founder/CEO</t>
  </si>
  <si>
    <t xml:space="preserve">kavya@nova.com</t>
  </si>
  <si>
    <t xml:space="preserve">13-04-2026</t>
  </si>
  <si>
    <t xml:space="preserve">Ananya Kapoor</t>
  </si>
  <si>
    <t xml:space="preserve">25-05-2026</t>
  </si>
  <si>
    <t xml:space="preserve">02-05-2026</t>
  </si>
  <si>
    <t xml:space="preserve">Not enough authority to buy</t>
  </si>
  <si>
    <t xml:space="preserve">LD2006</t>
  </si>
  <si>
    <t xml:space="preserve">Summit Solutions</t>
  </si>
  <si>
    <t xml:space="preserve">Zara</t>
  </si>
  <si>
    <t xml:space="preserve">zara@summit.com</t>
  </si>
  <si>
    <t xml:space="preserve">Cold Outbound</t>
  </si>
  <si>
    <t xml:space="preserve">30-04-2025</t>
  </si>
  <si>
    <t xml:space="preserve">14-07-2025</t>
  </si>
  <si>
    <t xml:space="preserve">14-05-2025</t>
  </si>
  <si>
    <t xml:space="preserve">LD2007</t>
  </si>
  <si>
    <t xml:space="preserve">Ember Ventures</t>
  </si>
  <si>
    <t xml:space="preserve">Ishita</t>
  </si>
  <si>
    <t xml:space="preserve">ishita@ember.com</t>
  </si>
  <si>
    <t xml:space="preserve">25-01-2026</t>
  </si>
  <si>
    <t xml:space="preserve">22-02-2026</t>
  </si>
  <si>
    <t xml:space="preserve">03-03-2026</t>
  </si>
  <si>
    <t xml:space="preserve">LD2008</t>
  </si>
  <si>
    <t xml:space="preserve">Northstar Traders</t>
  </si>
  <si>
    <t xml:space="preserve">Dev</t>
  </si>
  <si>
    <t xml:space="preserve">dev@northstar.com</t>
  </si>
  <si>
    <t xml:space="preserve">06-02-2026</t>
  </si>
  <si>
    <t xml:space="preserve">26-03-2026</t>
  </si>
  <si>
    <t xml:space="preserve">LD2009</t>
  </si>
  <si>
    <t xml:space="preserve">Ironclad Industries</t>
  </si>
  <si>
    <t xml:space="preserve">Arjun</t>
  </si>
  <si>
    <t xml:space="preserve">arjun@ironclad.com</t>
  </si>
  <si>
    <t xml:space="preserve">15-04-2025</t>
  </si>
  <si>
    <t xml:space="preserve">13-06-2025</t>
  </si>
  <si>
    <t xml:space="preserve">LD2010</t>
  </si>
  <si>
    <t xml:space="preserve">Ember Industries</t>
  </si>
  <si>
    <t xml:space="preserve">Aarav</t>
  </si>
  <si>
    <t xml:space="preserve">Marketing Director</t>
  </si>
  <si>
    <t xml:space="preserve">aarav@ember.com</t>
  </si>
  <si>
    <t xml:space="preserve">08-01-2026</t>
  </si>
  <si>
    <t xml:space="preserve">Qualified</t>
  </si>
  <si>
    <t xml:space="preserve">27-02-2026</t>
  </si>
  <si>
    <t xml:space="preserve">LD2011</t>
  </si>
  <si>
    <t xml:space="preserve">Redshift Enterprises</t>
  </si>
  <si>
    <t xml:space="preserve">Riya</t>
  </si>
  <si>
    <t xml:space="preserve">riya@redshift.com</t>
  </si>
  <si>
    <t xml:space="preserve">06-01-2026</t>
  </si>
  <si>
    <t xml:space="preserve">LD2012</t>
  </si>
  <si>
    <t xml:space="preserve">Ironclad Group</t>
  </si>
  <si>
    <t xml:space="preserve">kabir@ironclad.com</t>
  </si>
  <si>
    <t xml:space="preserve">17-08-2025</t>
  </si>
  <si>
    <t xml:space="preserve">28-10-2025</t>
  </si>
  <si>
    <t xml:space="preserve">LD2013</t>
  </si>
  <si>
    <t xml:space="preserve">Foxglove Enterprises</t>
  </si>
  <si>
    <t xml:space="preserve">Education</t>
  </si>
  <si>
    <t xml:space="preserve">Head of Operations</t>
  </si>
  <si>
    <t xml:space="preserve">kavya@foxglove.com</t>
  </si>
  <si>
    <t xml:space="preserve">31-12-2025</t>
  </si>
  <si>
    <t xml:space="preserve">17-02-2026</t>
  </si>
  <si>
    <t xml:space="preserve">LD2014</t>
  </si>
  <si>
    <t xml:space="preserve">Cobalt Enterprises</t>
  </si>
  <si>
    <t xml:space="preserve">Vivaan</t>
  </si>
  <si>
    <t xml:space="preserve">vivaan@cobalt.com</t>
  </si>
  <si>
    <t xml:space="preserve">14-08-2025</t>
  </si>
  <si>
    <t xml:space="preserve">03-10-2025</t>
  </si>
  <si>
    <t xml:space="preserve">LD2015</t>
  </si>
  <si>
    <t xml:space="preserve">Nova Industries</t>
  </si>
  <si>
    <t xml:space="preserve">Yash</t>
  </si>
  <si>
    <t xml:space="preserve">yash@nova.com</t>
  </si>
  <si>
    <t xml:space="preserve">02-02-2026</t>
  </si>
  <si>
    <t xml:space="preserve">02-03-2026</t>
  </si>
  <si>
    <t xml:space="preserve">LD2016</t>
  </si>
  <si>
    <t xml:space="preserve">Lumen Group</t>
  </si>
  <si>
    <t xml:space="preserve">kabir@lumen.com</t>
  </si>
  <si>
    <t xml:space="preserve">01-05-2026</t>
  </si>
  <si>
    <t xml:space="preserve">29-05-2026</t>
  </si>
  <si>
    <t xml:space="preserve">LD2017</t>
  </si>
  <si>
    <t xml:space="preserve">Logistics</t>
  </si>
  <si>
    <t xml:space="preserve">Growth Lead</t>
  </si>
  <si>
    <t xml:space="preserve">yash@foxglove.com</t>
  </si>
  <si>
    <t xml:space="preserve">15-09-2025</t>
  </si>
  <si>
    <t xml:space="preserve">08-10-2025</t>
  </si>
  <si>
    <t xml:space="preserve">LD2018</t>
  </si>
  <si>
    <t xml:space="preserve">riya@nova.com</t>
  </si>
  <si>
    <t xml:space="preserve">New Lead</t>
  </si>
  <si>
    <t xml:space="preserve">26-07-2026</t>
  </si>
  <si>
    <t xml:space="preserve">LD2019</t>
  </si>
  <si>
    <t xml:space="preserve">Summit Retail</t>
  </si>
  <si>
    <t xml:space="preserve">tanya@summit.com</t>
  </si>
  <si>
    <t xml:space="preserve">30-04-2026</t>
  </si>
  <si>
    <t xml:space="preserve">26-05-2026</t>
  </si>
  <si>
    <t xml:space="preserve">LD2020</t>
  </si>
  <si>
    <t xml:space="preserve">Ember Solutions</t>
  </si>
  <si>
    <t xml:space="preserve">yash@ember.com</t>
  </si>
  <si>
    <t xml:space="preserve">11-10-2025</t>
  </si>
  <si>
    <t xml:space="preserve">12-11-2025</t>
  </si>
  <si>
    <t xml:space="preserve">LD2021</t>
  </si>
  <si>
    <t xml:space="preserve">Palm Industries</t>
  </si>
  <si>
    <t xml:space="preserve">zara@palm.com</t>
  </si>
  <si>
    <t xml:space="preserve">11-09-2025</t>
  </si>
  <si>
    <t xml:space="preserve">13-10-2025</t>
  </si>
  <si>
    <t xml:space="preserve">LD2022</t>
  </si>
  <si>
    <t xml:space="preserve">Zenith Enterprises</t>
  </si>
  <si>
    <t xml:space="preserve">Aditya</t>
  </si>
  <si>
    <t xml:space="preserve">IT Manager</t>
  </si>
  <si>
    <t xml:space="preserve">aditya@zenith.com</t>
  </si>
  <si>
    <t xml:space="preserve">16-04-2026</t>
  </si>
  <si>
    <t xml:space="preserve">LD2023</t>
  </si>
  <si>
    <t xml:space="preserve">Driftwood Group</t>
  </si>
  <si>
    <t xml:space="preserve">Hospitality</t>
  </si>
  <si>
    <t xml:space="preserve">riya@driftwood.com</t>
  </si>
  <si>
    <t xml:space="preserve">21-05-2025</t>
  </si>
  <si>
    <t xml:space="preserve">20-06-2025</t>
  </si>
  <si>
    <t xml:space="preserve">LD2024</t>
  </si>
  <si>
    <t xml:space="preserve">Meridian Traders</t>
  </si>
  <si>
    <t xml:space="preserve">vivaan@meridian.com</t>
  </si>
  <si>
    <t xml:space="preserve">18-02-2026</t>
  </si>
  <si>
    <t xml:space="preserve">17-03-2026</t>
  </si>
  <si>
    <t xml:space="preserve">LD2025</t>
  </si>
  <si>
    <t xml:space="preserve">Driftwood Solutions</t>
  </si>
  <si>
    <t xml:space="preserve">Nikhil</t>
  </si>
  <si>
    <t xml:space="preserve">nikhil@driftwood.com</t>
  </si>
  <si>
    <t xml:space="preserve">06-10-2025</t>
  </si>
  <si>
    <t xml:space="preserve">19-12-2025</t>
  </si>
  <si>
    <t xml:space="preserve">LD2026</t>
  </si>
  <si>
    <t xml:space="preserve">Willow Group</t>
  </si>
  <si>
    <t xml:space="preserve">vivaan@willow.com</t>
  </si>
  <si>
    <t xml:space="preserve">22-05-2026</t>
  </si>
  <si>
    <t xml:space="preserve">LD2027</t>
  </si>
  <si>
    <t xml:space="preserve">Orbit Industries</t>
  </si>
  <si>
    <t xml:space="preserve">arjun@orbit.com</t>
  </si>
  <si>
    <t xml:space="preserve">05-05-2025</t>
  </si>
  <si>
    <t xml:space="preserve">09-06-2025</t>
  </si>
  <si>
    <t xml:space="preserve">LD2028</t>
  </si>
  <si>
    <t xml:space="preserve">Havenly Retail</t>
  </si>
  <si>
    <t xml:space="preserve">arjun@havenly.com</t>
  </si>
  <si>
    <t xml:space="preserve">05-07-2025</t>
  </si>
  <si>
    <t xml:space="preserve">11-08-2025</t>
  </si>
  <si>
    <t xml:space="preserve">LD2029</t>
  </si>
  <si>
    <t xml:space="preserve">Ironclad Ventures</t>
  </si>
  <si>
    <t xml:space="preserve">Sana</t>
  </si>
  <si>
    <t xml:space="preserve">sana@ironclad.com</t>
  </si>
  <si>
    <t xml:space="preserve">16-01-2025</t>
  </si>
  <si>
    <t xml:space="preserve">11-03-2025</t>
  </si>
  <si>
    <t xml:space="preserve">LD2030</t>
  </si>
  <si>
    <t xml:space="preserve">Zenith Retail</t>
  </si>
  <si>
    <t xml:space="preserve">vivaan@zenith.com</t>
  </si>
  <si>
    <t xml:space="preserve">24-08-2025</t>
  </si>
  <si>
    <t xml:space="preserve">05-11-2025</t>
  </si>
  <si>
    <t xml:space="preserve">LD2031</t>
  </si>
  <si>
    <t xml:space="preserve">Anchor Retail</t>
  </si>
  <si>
    <t xml:space="preserve">yash@anchor.com</t>
  </si>
  <si>
    <t xml:space="preserve">18-03-2026</t>
  </si>
  <si>
    <t xml:space="preserve">21-05-2026</t>
  </si>
  <si>
    <t xml:space="preserve">LD2032</t>
  </si>
  <si>
    <t xml:space="preserve">Crestline Group</t>
  </si>
  <si>
    <t xml:space="preserve">ishita@crestline.com</t>
  </si>
  <si>
    <t xml:space="preserve">11-06-2025</t>
  </si>
  <si>
    <t xml:space="preserve">05-08-2025</t>
  </si>
  <si>
    <t xml:space="preserve">LD2033</t>
  </si>
  <si>
    <t xml:space="preserve">Anchor Solutions</t>
  </si>
  <si>
    <t xml:space="preserve">tanya@anchor.com</t>
  </si>
  <si>
    <t xml:space="preserve">12-08-2025</t>
  </si>
  <si>
    <t xml:space="preserve">02-09-2025</t>
  </si>
  <si>
    <t xml:space="preserve">21-09-2025</t>
  </si>
  <si>
    <t xml:space="preserve">LD2034</t>
  </si>
  <si>
    <t xml:space="preserve">Quartz Industries</t>
  </si>
  <si>
    <t xml:space="preserve">sana@quartz.com</t>
  </si>
  <si>
    <t xml:space="preserve">08-06-2025</t>
  </si>
  <si>
    <t xml:space="preserve">13-08-2025</t>
  </si>
  <si>
    <t xml:space="preserve">LD2035</t>
  </si>
  <si>
    <t xml:space="preserve">Redshift Industries</t>
  </si>
  <si>
    <t xml:space="preserve">aarav@redshift.com</t>
  </si>
  <si>
    <t xml:space="preserve">Trade Show/Event</t>
  </si>
  <si>
    <t xml:space="preserve">14-02-2025</t>
  </si>
  <si>
    <t xml:space="preserve">26-04-2025</t>
  </si>
  <si>
    <t xml:space="preserve">LD2036</t>
  </si>
  <si>
    <t xml:space="preserve">Foxglove Ventures</t>
  </si>
  <si>
    <t xml:space="preserve">vivaan@foxglove.com</t>
  </si>
  <si>
    <t xml:space="preserve">29-03-2025</t>
  </si>
  <si>
    <t xml:space="preserve">22-04-2025</t>
  </si>
  <si>
    <t xml:space="preserve">25-04-2025</t>
  </si>
  <si>
    <t xml:space="preserve">Chose competitor</t>
  </si>
  <si>
    <t xml:space="preserve">LD2037</t>
  </si>
  <si>
    <t xml:space="preserve">Ridge Traders</t>
  </si>
  <si>
    <t xml:space="preserve">aditya@ridge.com</t>
  </si>
  <si>
    <t xml:space="preserve">01-07-2026</t>
  </si>
  <si>
    <t xml:space="preserve">LD2038</t>
  </si>
  <si>
    <t xml:space="preserve">Orbit Group</t>
  </si>
  <si>
    <t xml:space="preserve">Manufacturing</t>
  </si>
  <si>
    <t xml:space="preserve">pooja@orbit.com</t>
  </si>
  <si>
    <t xml:space="preserve">18-09-2025</t>
  </si>
  <si>
    <t xml:space="preserve">20-11-2025</t>
  </si>
  <si>
    <t xml:space="preserve">LD2039</t>
  </si>
  <si>
    <t xml:space="preserve">Anchor Mart</t>
  </si>
  <si>
    <t xml:space="preserve">vivaan@anchor.com</t>
  </si>
  <si>
    <t xml:space="preserve">20-10-2025</t>
  </si>
  <si>
    <t xml:space="preserve">10-11-2025</t>
  </si>
  <si>
    <t xml:space="preserve">LD2040</t>
  </si>
  <si>
    <t xml:space="preserve">Havenly Industries</t>
  </si>
  <si>
    <t xml:space="preserve">08-11-2025</t>
  </si>
  <si>
    <t xml:space="preserve">LD2041</t>
  </si>
  <si>
    <t xml:space="preserve">Anchor Industries</t>
  </si>
  <si>
    <t xml:space="preserve">zara@anchor.com</t>
  </si>
  <si>
    <t xml:space="preserve">09-01-2026</t>
  </si>
  <si>
    <t xml:space="preserve">23-02-2026</t>
  </si>
  <si>
    <t xml:space="preserve">LD2042</t>
  </si>
  <si>
    <t xml:space="preserve">Ridge Retail</t>
  </si>
  <si>
    <t xml:space="preserve">sana@ridge.com</t>
  </si>
  <si>
    <t xml:space="preserve">21-01-2026</t>
  </si>
  <si>
    <t xml:space="preserve">LD2043</t>
  </si>
  <si>
    <t xml:space="preserve">Solstice &amp; Co</t>
  </si>
  <si>
    <t xml:space="preserve">dev@solstice.com</t>
  </si>
  <si>
    <t xml:space="preserve">17-01-2026</t>
  </si>
  <si>
    <t xml:space="preserve">21-02-2026</t>
  </si>
  <si>
    <t xml:space="preserve">LD2044</t>
  </si>
  <si>
    <t xml:space="preserve">Summit Group</t>
  </si>
  <si>
    <t xml:space="preserve">vivaan@summit.com</t>
  </si>
  <si>
    <t xml:space="preserve">18-01-2026</t>
  </si>
  <si>
    <t xml:space="preserve">LD2045</t>
  </si>
  <si>
    <t xml:space="preserve">nikhil@anchor.com</t>
  </si>
  <si>
    <t xml:space="preserve">25-02-2026</t>
  </si>
  <si>
    <t xml:space="preserve">01-04-2026</t>
  </si>
  <si>
    <t xml:space="preserve">09-04-2026</t>
  </si>
  <si>
    <t xml:space="preserve">LD2046</t>
  </si>
  <si>
    <t xml:space="preserve">Palm &amp; Co</t>
  </si>
  <si>
    <t xml:space="preserve">aditya@palm.com</t>
  </si>
  <si>
    <t xml:space="preserve">21-06-2025</t>
  </si>
  <si>
    <t xml:space="preserve">28-08-2025</t>
  </si>
  <si>
    <t xml:space="preserve">LD2047</t>
  </si>
  <si>
    <t xml:space="preserve">Ironclad Solutions</t>
  </si>
  <si>
    <t xml:space="preserve">dev@ironclad.com</t>
  </si>
  <si>
    <t xml:space="preserve">07-09-2025</t>
  </si>
  <si>
    <t xml:space="preserve">10-10-2025</t>
  </si>
  <si>
    <t xml:space="preserve">23-09-2025</t>
  </si>
  <si>
    <t xml:space="preserve">Bad timing</t>
  </si>
  <si>
    <t xml:space="preserve">LD2048</t>
  </si>
  <si>
    <t xml:space="preserve">Ember Mart</t>
  </si>
  <si>
    <t xml:space="preserve">pooja@ember.com</t>
  </si>
  <si>
    <t xml:space="preserve">12-07-2026</t>
  </si>
  <si>
    <t xml:space="preserve">21-06-2026</t>
  </si>
  <si>
    <t xml:space="preserve">LD2049</t>
  </si>
  <si>
    <t xml:space="preserve">aditya@orbit.com</t>
  </si>
  <si>
    <t xml:space="preserve">16-03-2025</t>
  </si>
  <si>
    <t xml:space="preserve">20-04-2025</t>
  </si>
  <si>
    <t xml:space="preserve">LD2050</t>
  </si>
  <si>
    <t xml:space="preserve">Cobalt &amp; Co</t>
  </si>
  <si>
    <t xml:space="preserve">Meera</t>
  </si>
  <si>
    <t xml:space="preserve">meera@cobalt.com</t>
  </si>
  <si>
    <t xml:space="preserve">14-06-2025</t>
  </si>
  <si>
    <t xml:space="preserve">08-05-2025</t>
  </si>
  <si>
    <t xml:space="preserve">No decision / went dark</t>
  </si>
  <si>
    <t xml:space="preserve">LD2051</t>
  </si>
  <si>
    <t xml:space="preserve">aarav@summit.com</t>
  </si>
  <si>
    <t xml:space="preserve">14-03-2025</t>
  </si>
  <si>
    <t xml:space="preserve">18-04-2025</t>
  </si>
  <si>
    <t xml:space="preserve">23-04-2025</t>
  </si>
  <si>
    <t xml:space="preserve">LD2052</t>
  </si>
  <si>
    <t xml:space="preserve">Meridian Mart</t>
  </si>
  <si>
    <t xml:space="preserve">ishita@meridian.com</t>
  </si>
  <si>
    <t xml:space="preserve">11-11-2025</t>
  </si>
  <si>
    <t xml:space="preserve">24-12-2025</t>
  </si>
  <si>
    <t xml:space="preserve">LD2053</t>
  </si>
  <si>
    <t xml:space="preserve">Bluepeak Group</t>
  </si>
  <si>
    <t xml:space="preserve">07-03-2026</t>
  </si>
  <si>
    <t xml:space="preserve">28-04-2026</t>
  </si>
  <si>
    <t xml:space="preserve">LD2054</t>
  </si>
  <si>
    <t xml:space="preserve">Orbit Mart</t>
  </si>
  <si>
    <t xml:space="preserve">riya@orbit.com</t>
  </si>
  <si>
    <t xml:space="preserve">16-11-2025</t>
  </si>
  <si>
    <t xml:space="preserve">LD2055</t>
  </si>
  <si>
    <t xml:space="preserve">12-05-2026</t>
  </si>
  <si>
    <t xml:space="preserve">04-06-2026</t>
  </si>
  <si>
    <t xml:space="preserve">LD2056</t>
  </si>
  <si>
    <t xml:space="preserve">Ridge Industries</t>
  </si>
  <si>
    <t xml:space="preserve">yash@ridge.com</t>
  </si>
  <si>
    <t xml:space="preserve">23-02-2025</t>
  </si>
  <si>
    <t xml:space="preserve">05-04-2025</t>
  </si>
  <si>
    <t xml:space="preserve">LD2057</t>
  </si>
  <si>
    <t xml:space="preserve">Anchor &amp; Co</t>
  </si>
  <si>
    <t xml:space="preserve">24-01-2026</t>
  </si>
  <si>
    <t xml:space="preserve">11-12-2025</t>
  </si>
  <si>
    <t xml:space="preserve">LD2058</t>
  </si>
  <si>
    <t xml:space="preserve">dev@ridge.com</t>
  </si>
  <si>
    <t xml:space="preserve">05-06-2026</t>
  </si>
  <si>
    <t xml:space="preserve">LD2059</t>
  </si>
  <si>
    <t xml:space="preserve">Nova Traders</t>
  </si>
  <si>
    <t xml:space="preserve">aarav@nova.com</t>
  </si>
  <si>
    <t xml:space="preserve">14-11-2025</t>
  </si>
  <si>
    <t xml:space="preserve">LD2060</t>
  </si>
  <si>
    <t xml:space="preserve">pooja@quartz.com</t>
  </si>
  <si>
    <t xml:space="preserve">06-06-2025</t>
  </si>
  <si>
    <t xml:space="preserve">LD2061</t>
  </si>
  <si>
    <t xml:space="preserve">Havenly Traders</t>
  </si>
  <si>
    <t xml:space="preserve">kabir@havenly.com</t>
  </si>
  <si>
    <t xml:space="preserve">09-01-2025</t>
  </si>
  <si>
    <t xml:space="preserve">27-02-2025</t>
  </si>
  <si>
    <t xml:space="preserve">LD2062</t>
  </si>
  <si>
    <t xml:space="preserve">vivaan@bluepeak.com</t>
  </si>
  <si>
    <t xml:space="preserve">09-07-2025</t>
  </si>
  <si>
    <t xml:space="preserve">LD2063</t>
  </si>
  <si>
    <t xml:space="preserve">Granite Solutions</t>
  </si>
  <si>
    <t xml:space="preserve">sana@granite.com</t>
  </si>
  <si>
    <t xml:space="preserve">09-04-2025</t>
  </si>
  <si>
    <t xml:space="preserve">06-05-2025</t>
  </si>
  <si>
    <t xml:space="preserve">LD2064</t>
  </si>
  <si>
    <t xml:space="preserve">Cobalt Mart</t>
  </si>
  <si>
    <t xml:space="preserve">ishita@cobalt.com</t>
  </si>
  <si>
    <t xml:space="preserve">02-10-2025</t>
  </si>
  <si>
    <t xml:space="preserve">31-10-2025</t>
  </si>
  <si>
    <t xml:space="preserve">LD2065</t>
  </si>
  <si>
    <t xml:space="preserve">Willow Solutions</t>
  </si>
  <si>
    <t xml:space="preserve">aarav@willow.com</t>
  </si>
  <si>
    <t xml:space="preserve">05-01-2025</t>
  </si>
  <si>
    <t xml:space="preserve">22-02-2025</t>
  </si>
  <si>
    <t xml:space="preserve">04-02-2025</t>
  </si>
  <si>
    <t xml:space="preserve">LD2066</t>
  </si>
  <si>
    <t xml:space="preserve">25-12-2025</t>
  </si>
  <si>
    <t xml:space="preserve">16-01-2026</t>
  </si>
  <si>
    <t xml:space="preserve">LD2067</t>
  </si>
  <si>
    <t xml:space="preserve">Lumen Traders</t>
  </si>
  <si>
    <t xml:space="preserve">nikhil@lumen.com</t>
  </si>
  <si>
    <t xml:space="preserve">19-03-2026</t>
  </si>
  <si>
    <t xml:space="preserve">LD2068</t>
  </si>
  <si>
    <t xml:space="preserve">zara@foxglove.com</t>
  </si>
  <si>
    <t xml:space="preserve">04-04-2025</t>
  </si>
  <si>
    <t xml:space="preserve">13-05-2025</t>
  </si>
  <si>
    <t xml:space="preserve">LD2069</t>
  </si>
  <si>
    <t xml:space="preserve">Granite Industries</t>
  </si>
  <si>
    <t xml:space="preserve">aditya@granite.com</t>
  </si>
  <si>
    <t xml:space="preserve">19-01-2025</t>
  </si>
  <si>
    <t xml:space="preserve">09-03-2025</t>
  </si>
  <si>
    <t xml:space="preserve">18-02-2025</t>
  </si>
  <si>
    <t xml:space="preserve">LD2070</t>
  </si>
  <si>
    <t xml:space="preserve">sana@zenith.com</t>
  </si>
  <si>
    <t xml:space="preserve">24-03-2025</t>
  </si>
  <si>
    <t xml:space="preserve">LD2071</t>
  </si>
  <si>
    <t xml:space="preserve">Crestline Retail</t>
  </si>
  <si>
    <t xml:space="preserve">nikhil@crestline.com</t>
  </si>
  <si>
    <t xml:space="preserve">25-06-2025</t>
  </si>
  <si>
    <t xml:space="preserve">LD2072</t>
  </si>
  <si>
    <t xml:space="preserve">kabir@quartz.com</t>
  </si>
  <si>
    <t xml:space="preserve">26-08-2025</t>
  </si>
  <si>
    <t xml:space="preserve">LD2073</t>
  </si>
  <si>
    <t xml:space="preserve">Crestline Traders</t>
  </si>
  <si>
    <t xml:space="preserve">14-02-2026</t>
  </si>
  <si>
    <t xml:space="preserve">LD2074</t>
  </si>
  <si>
    <t xml:space="preserve">Nova Retail</t>
  </si>
  <si>
    <t xml:space="preserve">pooja@nova.com</t>
  </si>
  <si>
    <t xml:space="preserve">LD2075</t>
  </si>
  <si>
    <t xml:space="preserve">Orbit Traders</t>
  </si>
  <si>
    <t xml:space="preserve">29-08-2025</t>
  </si>
  <si>
    <t xml:space="preserve">LD2076</t>
  </si>
  <si>
    <t xml:space="preserve">Willow Traders</t>
  </si>
  <si>
    <t xml:space="preserve">kabir@willow.com</t>
  </si>
  <si>
    <t xml:space="preserve">10-04-2026</t>
  </si>
  <si>
    <t xml:space="preserve">25-04-2026</t>
  </si>
  <si>
    <t xml:space="preserve">LD2077</t>
  </si>
  <si>
    <t xml:space="preserve">Northstar Enterprises</t>
  </si>
  <si>
    <t xml:space="preserve">arjun@northstar.com</t>
  </si>
  <si>
    <t xml:space="preserve">19-05-2026</t>
  </si>
  <si>
    <t xml:space="preserve">24-06-2026</t>
  </si>
  <si>
    <t xml:space="preserve">LD2078</t>
  </si>
  <si>
    <t xml:space="preserve">Solstice Traders</t>
  </si>
  <si>
    <t xml:space="preserve">ishita@solstice.com</t>
  </si>
  <si>
    <t xml:space="preserve">28-05-2025</t>
  </si>
  <si>
    <t xml:space="preserve">27-06-2025</t>
  </si>
  <si>
    <t xml:space="preserve">08-07-2025</t>
  </si>
  <si>
    <t xml:space="preserve">Feature gap</t>
  </si>
  <si>
    <t xml:space="preserve">LD2079</t>
  </si>
  <si>
    <t xml:space="preserve">arjun@foxglove.com</t>
  </si>
  <si>
    <t xml:space="preserve">24-05-2026</t>
  </si>
  <si>
    <t xml:space="preserve">LD2080</t>
  </si>
  <si>
    <t xml:space="preserve">Anchor Ventures</t>
  </si>
  <si>
    <t xml:space="preserve">arjun@anchor.com</t>
  </si>
  <si>
    <t xml:space="preserve">13-01-2026</t>
  </si>
  <si>
    <t xml:space="preserve">05-02-2026</t>
  </si>
  <si>
    <t xml:space="preserve">LD2081</t>
  </si>
  <si>
    <t xml:space="preserve">Vertex Industries</t>
  </si>
  <si>
    <t xml:space="preserve">pooja@vertex.com</t>
  </si>
  <si>
    <t xml:space="preserve">17-11-2025</t>
  </si>
  <si>
    <t xml:space="preserve">30-12-2025</t>
  </si>
  <si>
    <t xml:space="preserve">LD2082</t>
  </si>
  <si>
    <t xml:space="preserve">Meridian Industries</t>
  </si>
  <si>
    <t xml:space="preserve">yash@meridian.com</t>
  </si>
  <si>
    <t xml:space="preserve">16-02-2025</t>
  </si>
  <si>
    <t xml:space="preserve">28-04-2025</t>
  </si>
  <si>
    <t xml:space="preserve">25-03-2025</t>
  </si>
  <si>
    <t xml:space="preserve">LD2083</t>
  </si>
  <si>
    <t xml:space="preserve">Vertex Ventures</t>
  </si>
  <si>
    <t xml:space="preserve">kavya@vertex.com</t>
  </si>
  <si>
    <t xml:space="preserve">07-03-2025</t>
  </si>
  <si>
    <t xml:space="preserve">27-03-2025</t>
  </si>
  <si>
    <t xml:space="preserve">LD2084</t>
  </si>
  <si>
    <t xml:space="preserve">Zenith &amp; Co</t>
  </si>
  <si>
    <t xml:space="preserve">kabir@zenith.com</t>
  </si>
  <si>
    <t xml:space="preserve">20-05-2026</t>
  </si>
  <si>
    <t xml:space="preserve">LD2085</t>
  </si>
  <si>
    <t xml:space="preserve">Ironclad &amp; Co</t>
  </si>
  <si>
    <t xml:space="preserve">yash@ironclad.com</t>
  </si>
  <si>
    <t xml:space="preserve">28-06-2025</t>
  </si>
  <si>
    <t xml:space="preserve">18-07-2025</t>
  </si>
  <si>
    <t xml:space="preserve">LD2086</t>
  </si>
  <si>
    <t xml:space="preserve">Cobalt Ventures</t>
  </si>
  <si>
    <t xml:space="preserve">zara@cobalt.com</t>
  </si>
  <si>
    <t xml:space="preserve">16-05-2026</t>
  </si>
  <si>
    <t xml:space="preserve">LD2087</t>
  </si>
  <si>
    <t xml:space="preserve">Foxglove Group</t>
  </si>
  <si>
    <t xml:space="preserve">riya@foxglove.com</t>
  </si>
  <si>
    <t xml:space="preserve">30-10-2025</t>
  </si>
  <si>
    <t xml:space="preserve">11-01-2026</t>
  </si>
  <si>
    <t xml:space="preserve">LD2088</t>
  </si>
  <si>
    <t xml:space="preserve">Nova &amp; Co</t>
  </si>
  <si>
    <t xml:space="preserve">tanya@nova.com</t>
  </si>
  <si>
    <t xml:space="preserve">16-07-2025</t>
  </si>
  <si>
    <t xml:space="preserve">28-09-2025</t>
  </si>
  <si>
    <t xml:space="preserve">LD2089</t>
  </si>
  <si>
    <t xml:space="preserve">ishita@vertex.com</t>
  </si>
  <si>
    <t xml:space="preserve">06-08-2025</t>
  </si>
  <si>
    <t xml:space="preserve">27-08-2025</t>
  </si>
  <si>
    <t xml:space="preserve">18-08-2025</t>
  </si>
  <si>
    <t xml:space="preserve">LD2090</t>
  </si>
  <si>
    <t xml:space="preserve">Granite &amp; Co</t>
  </si>
  <si>
    <t xml:space="preserve">meera@granite.com</t>
  </si>
  <si>
    <t xml:space="preserve">17-02-2025</t>
  </si>
  <si>
    <t xml:space="preserve">13-03-2025</t>
  </si>
  <si>
    <t xml:space="preserve">LD2091</t>
  </si>
  <si>
    <t xml:space="preserve">Cobalt Solutions</t>
  </si>
  <si>
    <t xml:space="preserve">pooja@cobalt.com</t>
  </si>
  <si>
    <t xml:space="preserve">30-07-2025</t>
  </si>
  <si>
    <t xml:space="preserve">LD2092</t>
  </si>
  <si>
    <t xml:space="preserve">Granite Ventures</t>
  </si>
  <si>
    <t xml:space="preserve">pooja@granite.com</t>
  </si>
  <si>
    <t xml:space="preserve">16-05-2025</t>
  </si>
  <si>
    <t xml:space="preserve">07-06-2025</t>
  </si>
  <si>
    <t xml:space="preserve">LD2093</t>
  </si>
  <si>
    <t xml:space="preserve">01-02-2025</t>
  </si>
  <si>
    <t xml:space="preserve">LD2094</t>
  </si>
  <si>
    <t xml:space="preserve">Northstar Mart</t>
  </si>
  <si>
    <t xml:space="preserve">kavya@northstar.com</t>
  </si>
  <si>
    <t xml:space="preserve">26-07-2025</t>
  </si>
  <si>
    <t xml:space="preserve">LD2095</t>
  </si>
  <si>
    <t xml:space="preserve">Ironclad Traders</t>
  </si>
  <si>
    <t xml:space="preserve">zara@ironclad.com</t>
  </si>
  <si>
    <t xml:space="preserve">12-06-2025</t>
  </si>
  <si>
    <t xml:space="preserve">27-07-2025</t>
  </si>
  <si>
    <t xml:space="preserve">LD2096</t>
  </si>
  <si>
    <t xml:space="preserve">kavya@summit.com</t>
  </si>
  <si>
    <t xml:space="preserve">13-02-2026</t>
  </si>
  <si>
    <t xml:space="preserve">LD2097</t>
  </si>
  <si>
    <t xml:space="preserve">Tidal Group</t>
  </si>
  <si>
    <t xml:space="preserve">aditya@tidal.com</t>
  </si>
  <si>
    <t xml:space="preserve">15-07-2025</t>
  </si>
  <si>
    <t xml:space="preserve">LD2098</t>
  </si>
  <si>
    <t xml:space="preserve">19-04-2026</t>
  </si>
  <si>
    <t xml:space="preserve">LD2099</t>
  </si>
  <si>
    <t xml:space="preserve">02-12-2025</t>
  </si>
  <si>
    <t xml:space="preserve">LD2100</t>
  </si>
  <si>
    <t xml:space="preserve">arjun@nova.com</t>
  </si>
  <si>
    <t xml:space="preserve">10-06-2025</t>
  </si>
  <si>
    <t xml:space="preserve">LD2101</t>
  </si>
  <si>
    <t xml:space="preserve">06-01-2025</t>
  </si>
  <si>
    <t xml:space="preserve">LD2102</t>
  </si>
  <si>
    <t xml:space="preserve">Northstar Solutions</t>
  </si>
  <si>
    <t xml:space="preserve">zara@northstar.com</t>
  </si>
  <si>
    <t xml:space="preserve">09-06-2026</t>
  </si>
  <si>
    <t xml:space="preserve">LD2103</t>
  </si>
  <si>
    <t xml:space="preserve">Granite Retail</t>
  </si>
  <si>
    <t xml:space="preserve">nikhil@granite.com</t>
  </si>
  <si>
    <t xml:space="preserve">12-04-2026</t>
  </si>
  <si>
    <t xml:space="preserve">LD2104</t>
  </si>
  <si>
    <t xml:space="preserve">pooja@summit.com</t>
  </si>
  <si>
    <t xml:space="preserve">19-04-2025</t>
  </si>
  <si>
    <t xml:space="preserve">LD2105</t>
  </si>
  <si>
    <t xml:space="preserve">meera@ironclad.com</t>
  </si>
  <si>
    <t xml:space="preserve">LD2106</t>
  </si>
  <si>
    <t xml:space="preserve">Havenly Solutions</t>
  </si>
  <si>
    <t xml:space="preserve">meera@havenly.com</t>
  </si>
  <si>
    <t xml:space="preserve">01-05-2025</t>
  </si>
  <si>
    <t xml:space="preserve">LD2107</t>
  </si>
  <si>
    <t xml:space="preserve">Palm Group</t>
  </si>
  <si>
    <t xml:space="preserve">riya@palm.com</t>
  </si>
  <si>
    <t xml:space="preserve">07-11-2025</t>
  </si>
  <si>
    <t xml:space="preserve">22-12-2025</t>
  </si>
  <si>
    <t xml:space="preserve">LD2108</t>
  </si>
  <si>
    <t xml:space="preserve">zara@zenith.com</t>
  </si>
  <si>
    <t xml:space="preserve">12-03-2025</t>
  </si>
  <si>
    <t xml:space="preserve">23-05-2025</t>
  </si>
  <si>
    <t xml:space="preserve">LD2109</t>
  </si>
  <si>
    <t xml:space="preserve">aarav@northstar.com</t>
  </si>
  <si>
    <t xml:space="preserve">29-10-2025</t>
  </si>
  <si>
    <t xml:space="preserve">LD2110</t>
  </si>
  <si>
    <t xml:space="preserve">Zenith Solutions</t>
  </si>
  <si>
    <t xml:space="preserve">nikhil@zenith.com</t>
  </si>
  <si>
    <t xml:space="preserve">02-01-2026</t>
  </si>
  <si>
    <t xml:space="preserve">LD2111</t>
  </si>
  <si>
    <t xml:space="preserve">Driftwood Retail</t>
  </si>
  <si>
    <t xml:space="preserve">kabir@driftwood.com</t>
  </si>
  <si>
    <t xml:space="preserve">LD2112</t>
  </si>
  <si>
    <t xml:space="preserve">Driftwood Ventures</t>
  </si>
  <si>
    <t xml:space="preserve">sana@driftwood.com</t>
  </si>
  <si>
    <t xml:space="preserve">22-11-2025</t>
  </si>
  <si>
    <t xml:space="preserve">07-12-2025</t>
  </si>
  <si>
    <t xml:space="preserve">LD2113</t>
  </si>
  <si>
    <t xml:space="preserve">Summit Traders</t>
  </si>
  <si>
    <t xml:space="preserve">arjun@summit.com</t>
  </si>
  <si>
    <t xml:space="preserve">18-06-2026</t>
  </si>
  <si>
    <t xml:space="preserve">LD2114</t>
  </si>
  <si>
    <t xml:space="preserve">aarav@quartz.com</t>
  </si>
  <si>
    <t xml:space="preserve">LD2115</t>
  </si>
  <si>
    <t xml:space="preserve">Bluepeak Industries</t>
  </si>
  <si>
    <t xml:space="preserve">kavya@bluepeak.com</t>
  </si>
  <si>
    <t xml:space="preserve">25-11-2025</t>
  </si>
  <si>
    <t xml:space="preserve">27-01-2026</t>
  </si>
  <si>
    <t xml:space="preserve">LD2116</t>
  </si>
  <si>
    <t xml:space="preserve">Redshift Mart</t>
  </si>
  <si>
    <t xml:space="preserve">pooja@redshift.com</t>
  </si>
  <si>
    <t xml:space="preserve">22-01-2025</t>
  </si>
  <si>
    <t xml:space="preserve">LD2117</t>
  </si>
  <si>
    <t xml:space="preserve">Crestline Mart</t>
  </si>
  <si>
    <t xml:space="preserve">kabir@crestline.com</t>
  </si>
  <si>
    <t xml:space="preserve">19-03-2025</t>
  </si>
  <si>
    <t xml:space="preserve">LD2118</t>
  </si>
  <si>
    <t xml:space="preserve">Ridge Mart</t>
  </si>
  <si>
    <t xml:space="preserve">meera@ridge.com</t>
  </si>
  <si>
    <t xml:space="preserve">22-03-2026</t>
  </si>
  <si>
    <t xml:space="preserve">03-05-2026</t>
  </si>
  <si>
    <t xml:space="preserve">LD2119</t>
  </si>
  <si>
    <t xml:space="preserve">08-08-2025</t>
  </si>
  <si>
    <t xml:space="preserve">LD2120</t>
  </si>
  <si>
    <t xml:space="preserve">Willow &amp; Co</t>
  </si>
  <si>
    <t xml:space="preserve">aditya@willow.com</t>
  </si>
  <si>
    <t xml:space="preserve">12-04-2025</t>
  </si>
  <si>
    <t xml:space="preserve">LD2121</t>
  </si>
  <si>
    <t xml:space="preserve">Granite Traders</t>
  </si>
  <si>
    <t xml:space="preserve">aarav@granite.com</t>
  </si>
  <si>
    <t xml:space="preserve">LD2122</t>
  </si>
  <si>
    <t xml:space="preserve">Quartz Ventures</t>
  </si>
  <si>
    <t xml:space="preserve">ishita@quartz.com</t>
  </si>
  <si>
    <t xml:space="preserve">15-06-2025</t>
  </si>
  <si>
    <t xml:space="preserve">LD2123</t>
  </si>
  <si>
    <t xml:space="preserve">Zenith Mart</t>
  </si>
  <si>
    <t xml:space="preserve">08-03-2026</t>
  </si>
  <si>
    <t xml:space="preserve">09-05-2026</t>
  </si>
  <si>
    <t xml:space="preserve">LD2124</t>
  </si>
  <si>
    <t xml:space="preserve">meera@bluepeak.com</t>
  </si>
  <si>
    <t xml:space="preserve">26-03-2025</t>
  </si>
  <si>
    <t xml:space="preserve">LD2125</t>
  </si>
  <si>
    <t xml:space="preserve">vivaan@granite.com</t>
  </si>
  <si>
    <t xml:space="preserve">29-04-2026</t>
  </si>
  <si>
    <t xml:space="preserve">11-06-2026</t>
  </si>
  <si>
    <t xml:space="preserve">LD2126</t>
  </si>
  <si>
    <t xml:space="preserve">Vertex Retail</t>
  </si>
  <si>
    <t xml:space="preserve">vivaan@vertex.com</t>
  </si>
  <si>
    <t xml:space="preserve">15-06-2026</t>
  </si>
  <si>
    <t xml:space="preserve">LD2127</t>
  </si>
  <si>
    <t xml:space="preserve">Zenith Traders</t>
  </si>
  <si>
    <t xml:space="preserve">kavya@zenith.com</t>
  </si>
  <si>
    <t xml:space="preserve">15-11-2025</t>
  </si>
  <si>
    <t xml:space="preserve">15-12-2025</t>
  </si>
  <si>
    <t xml:space="preserve">LD2128</t>
  </si>
  <si>
    <t xml:space="preserve">Crestline Solutions</t>
  </si>
  <si>
    <t xml:space="preserve">arjun@crestline.com</t>
  </si>
  <si>
    <t xml:space="preserve">04-03-2026</t>
  </si>
  <si>
    <t xml:space="preserve">LD2129</t>
  </si>
  <si>
    <t xml:space="preserve">nikhil@ironclad.com</t>
  </si>
  <si>
    <t xml:space="preserve">LD2130</t>
  </si>
  <si>
    <t xml:space="preserve">pooja@zenith.com</t>
  </si>
  <si>
    <t xml:space="preserve">08-04-2026</t>
  </si>
  <si>
    <t xml:space="preserve">03-06-2026</t>
  </si>
  <si>
    <t xml:space="preserve">LD2131</t>
  </si>
  <si>
    <t xml:space="preserve">Ember Group</t>
  </si>
  <si>
    <t xml:space="preserve">arjun@ember.com</t>
  </si>
  <si>
    <t xml:space="preserve">17-05-2025</t>
  </si>
  <si>
    <t xml:space="preserve">LD2132</t>
  </si>
  <si>
    <t xml:space="preserve">30-01-2026</t>
  </si>
  <si>
    <t xml:space="preserve">LD2133</t>
  </si>
  <si>
    <t xml:space="preserve">13-07-2025</t>
  </si>
  <si>
    <t xml:space="preserve">25-08-2025</t>
  </si>
  <si>
    <t xml:space="preserve">LD2134</t>
  </si>
  <si>
    <t xml:space="preserve">Tidal Mart</t>
  </si>
  <si>
    <t xml:space="preserve">kabir@tidal.com</t>
  </si>
  <si>
    <t xml:space="preserve">03-02-2026</t>
  </si>
  <si>
    <t xml:space="preserve">LD2135</t>
  </si>
  <si>
    <t xml:space="preserve">Vertex Enterprises</t>
  </si>
  <si>
    <t xml:space="preserve">kabir@vertex.com</t>
  </si>
  <si>
    <t xml:space="preserve">14-10-2025</t>
  </si>
  <si>
    <t xml:space="preserve">19-11-2025</t>
  </si>
  <si>
    <t xml:space="preserve">LD2136</t>
  </si>
  <si>
    <t xml:space="preserve">vivaan@ironclad.com</t>
  </si>
  <si>
    <t xml:space="preserve">23-01-2026</t>
  </si>
  <si>
    <t xml:space="preserve">24-03-2026</t>
  </si>
  <si>
    <t xml:space="preserve">LD2137</t>
  </si>
  <si>
    <t xml:space="preserve">Meridian Group</t>
  </si>
  <si>
    <t xml:space="preserve">riya@meridian.com</t>
  </si>
  <si>
    <t xml:space="preserve">23-11-2025</t>
  </si>
  <si>
    <t xml:space="preserve">05-01-2026</t>
  </si>
  <si>
    <t xml:space="preserve">LD2138</t>
  </si>
  <si>
    <t xml:space="preserve">Solstice Ventures</t>
  </si>
  <si>
    <t xml:space="preserve">pooja@solstice.com</t>
  </si>
  <si>
    <t xml:space="preserve">20-09-2025</t>
  </si>
  <si>
    <t xml:space="preserve">LD2139</t>
  </si>
  <si>
    <t xml:space="preserve">Quartz Enterprises</t>
  </si>
  <si>
    <t xml:space="preserve">kavya@quartz.com</t>
  </si>
  <si>
    <t xml:space="preserve">14-04-2025</t>
  </si>
  <si>
    <t xml:space="preserve">10-05-2025</t>
  </si>
  <si>
    <t xml:space="preserve">LD2140</t>
  </si>
  <si>
    <t xml:space="preserve">kabir@nova.com</t>
  </si>
  <si>
    <t xml:space="preserve">04-02-2026</t>
  </si>
  <si>
    <t xml:space="preserve">LD2141</t>
  </si>
  <si>
    <t xml:space="preserve">Granite Mart</t>
  </si>
  <si>
    <t xml:space="preserve">LD2142</t>
  </si>
  <si>
    <t xml:space="preserve">arjun@palm.com</t>
  </si>
  <si>
    <t xml:space="preserve">23-01-2025</t>
  </si>
  <si>
    <t xml:space="preserve">21-02-2025</t>
  </si>
  <si>
    <t xml:space="preserve">08-02-2025</t>
  </si>
  <si>
    <t xml:space="preserve">LD2143</t>
  </si>
  <si>
    <t xml:space="preserve">Quartz Solutions</t>
  </si>
  <si>
    <t xml:space="preserve">meera@quartz.com</t>
  </si>
  <si>
    <t xml:space="preserve">26-02-2026</t>
  </si>
  <si>
    <t xml:space="preserve">22-04-2026</t>
  </si>
  <si>
    <t xml:space="preserve">02-04-2026</t>
  </si>
  <si>
    <t xml:space="preserve">LD2144</t>
  </si>
  <si>
    <t xml:space="preserve">21-08-2025</t>
  </si>
  <si>
    <t xml:space="preserve">LD2145</t>
  </si>
  <si>
    <t xml:space="preserve">Solstice Industries</t>
  </si>
  <si>
    <t xml:space="preserve">aditya@solstice.com</t>
  </si>
  <si>
    <t xml:space="preserve">28-02-2025</t>
  </si>
  <si>
    <t xml:space="preserve">02-04-2025</t>
  </si>
  <si>
    <t xml:space="preserve">13-04-2025</t>
  </si>
  <si>
    <t xml:space="preserve">LD2146</t>
  </si>
  <si>
    <t xml:space="preserve">riya@quartz.com</t>
  </si>
  <si>
    <t xml:space="preserve">LD2147</t>
  </si>
  <si>
    <t xml:space="preserve">Quartz Traders</t>
  </si>
  <si>
    <t xml:space="preserve">04-08-2025</t>
  </si>
  <si>
    <t xml:space="preserve">LD2148</t>
  </si>
  <si>
    <t xml:space="preserve">04-05-2026</t>
  </si>
  <si>
    <t xml:space="preserve">LD2149</t>
  </si>
  <si>
    <t xml:space="preserve">Crestline &amp; Co</t>
  </si>
  <si>
    <t xml:space="preserve">16-03-2026</t>
  </si>
  <si>
    <t xml:space="preserve">LD2150</t>
  </si>
  <si>
    <t xml:space="preserve">Nova Group</t>
  </si>
  <si>
    <t xml:space="preserve">vivaan@nova.com</t>
  </si>
  <si>
    <t xml:space="preserve">21-04-2025</t>
  </si>
  <si>
    <t xml:space="preserve">19-05-2025</t>
  </si>
  <si>
    <t xml:space="preserve">LD2151</t>
  </si>
  <si>
    <t xml:space="preserve">meera@meridian.com</t>
  </si>
  <si>
    <t xml:space="preserve">06-07-2025</t>
  </si>
  <si>
    <t xml:space="preserve">LD2152</t>
  </si>
  <si>
    <t xml:space="preserve">07-04-2025</t>
  </si>
  <si>
    <t xml:space="preserve">11-05-2025</t>
  </si>
  <si>
    <t xml:space="preserve">24-04-2025</t>
  </si>
  <si>
    <t xml:space="preserve">LD2153</t>
  </si>
  <si>
    <t xml:space="preserve">Granite Enterprises</t>
  </si>
  <si>
    <t xml:space="preserve">dev@granite.com</t>
  </si>
  <si>
    <t xml:space="preserve">11-02-2025</t>
  </si>
  <si>
    <t xml:space="preserve">LD2154</t>
  </si>
  <si>
    <t xml:space="preserve">ishita@ironclad.com</t>
  </si>
  <si>
    <t xml:space="preserve">04-09-2025</t>
  </si>
  <si>
    <t xml:space="preserve">LD2155</t>
  </si>
  <si>
    <t xml:space="preserve">ishita@granite.com</t>
  </si>
  <si>
    <t xml:space="preserve">31-05-2025</t>
  </si>
  <si>
    <t xml:space="preserve">07-07-2025</t>
  </si>
  <si>
    <t xml:space="preserve">LD2156</t>
  </si>
  <si>
    <t xml:space="preserve">arjun@willow.com</t>
  </si>
  <si>
    <t xml:space="preserve">05-02-2025</t>
  </si>
  <si>
    <t xml:space="preserve">LD2157</t>
  </si>
  <si>
    <t xml:space="preserve">Bluepeak Mart</t>
  </si>
  <si>
    <t xml:space="preserve">aditya@bluepeak.com</t>
  </si>
  <si>
    <t xml:space="preserve">14-01-2025</t>
  </si>
  <si>
    <t xml:space="preserve">20-02-2025</t>
  </si>
  <si>
    <t xml:space="preserve">LD2158</t>
  </si>
  <si>
    <t xml:space="preserve">yash@summit.com</t>
  </si>
  <si>
    <t xml:space="preserve">07-05-2025</t>
  </si>
  <si>
    <t xml:space="preserve">LD2159</t>
  </si>
  <si>
    <t xml:space="preserve">Northstar Group</t>
  </si>
  <si>
    <t xml:space="preserve">31-01-2026</t>
  </si>
  <si>
    <t xml:space="preserve">15-03-2026</t>
  </si>
  <si>
    <t xml:space="preserve">LD2160</t>
  </si>
  <si>
    <t xml:space="preserve">LD2161</t>
  </si>
  <si>
    <t xml:space="preserve">Redshift Traders</t>
  </si>
  <si>
    <t xml:space="preserve">05-03-2025</t>
  </si>
  <si>
    <t xml:space="preserve">LD2162</t>
  </si>
  <si>
    <t xml:space="preserve">Palm Mart</t>
  </si>
  <si>
    <t xml:space="preserve">sana@palm.com</t>
  </si>
  <si>
    <t xml:space="preserve">24-06-2025</t>
  </si>
  <si>
    <t xml:space="preserve">LD2163</t>
  </si>
  <si>
    <t xml:space="preserve">tanya@crestline.com</t>
  </si>
  <si>
    <t xml:space="preserve">27-10-2025</t>
  </si>
  <si>
    <t xml:space="preserve">21-11-2025</t>
  </si>
  <si>
    <t xml:space="preserve">LD2164</t>
  </si>
  <si>
    <t xml:space="preserve">29-07-2025</t>
  </si>
  <si>
    <t xml:space="preserve">06-09-2025</t>
  </si>
  <si>
    <t xml:space="preserve">LD2165</t>
  </si>
  <si>
    <t xml:space="preserve">Bluepeak Ventures</t>
  </si>
  <si>
    <t xml:space="preserve">tanya@bluepeak.com</t>
  </si>
  <si>
    <t xml:space="preserve">07-04-2026</t>
  </si>
  <si>
    <t xml:space="preserve">LD2166</t>
  </si>
  <si>
    <t xml:space="preserve">Ironclad Mart</t>
  </si>
  <si>
    <t xml:space="preserve">24-02-2026</t>
  </si>
  <si>
    <t xml:space="preserve">LD2167</t>
  </si>
  <si>
    <t xml:space="preserve">Ember Enterprises</t>
  </si>
  <si>
    <t xml:space="preserve">zara@ember.com</t>
  </si>
  <si>
    <t xml:space="preserve">01-08-2025</t>
  </si>
  <si>
    <t xml:space="preserve">LD2168</t>
  </si>
  <si>
    <t xml:space="preserve">Tidal Retail</t>
  </si>
  <si>
    <t xml:space="preserve">zara@tidal.com</t>
  </si>
  <si>
    <t xml:space="preserve">24-10-2025</t>
  </si>
  <si>
    <t xml:space="preserve">05-12-2025</t>
  </si>
  <si>
    <t xml:space="preserve">LD2169</t>
  </si>
  <si>
    <t xml:space="preserve">03-01-2025</t>
  </si>
  <si>
    <t xml:space="preserve">06-03-2025</t>
  </si>
  <si>
    <t xml:space="preserve">LD2170</t>
  </si>
  <si>
    <t xml:space="preserve">Northstar Ventures</t>
  </si>
  <si>
    <t xml:space="preserve">meera@northstar.com</t>
  </si>
  <si>
    <t xml:space="preserve">30-09-2025</t>
  </si>
  <si>
    <t xml:space="preserve">LD2171</t>
  </si>
  <si>
    <t xml:space="preserve">LD2172</t>
  </si>
  <si>
    <t xml:space="preserve">Palm Retail</t>
  </si>
  <si>
    <t xml:space="preserve">tanya@palm.com</t>
  </si>
  <si>
    <t xml:space="preserve">29-12-2025</t>
  </si>
  <si>
    <t xml:space="preserve">20-01-2026</t>
  </si>
  <si>
    <t xml:space="preserve">LD2173</t>
  </si>
  <si>
    <t xml:space="preserve">Meridian &amp; Co</t>
  </si>
  <si>
    <t xml:space="preserve">sana@meridian.com</t>
  </si>
  <si>
    <t xml:space="preserve">LD2174</t>
  </si>
  <si>
    <t xml:space="preserve">Orbit &amp; Co</t>
  </si>
  <si>
    <t xml:space="preserve">kavya@orbit.com</t>
  </si>
  <si>
    <t xml:space="preserve">20-06-2026</t>
  </si>
  <si>
    <t xml:space="preserve">LD2175</t>
  </si>
  <si>
    <t xml:space="preserve">01-02-2026</t>
  </si>
  <si>
    <t xml:space="preserve">28-03-2026</t>
  </si>
  <si>
    <t xml:space="preserve">LD2176</t>
  </si>
  <si>
    <t xml:space="preserve">Solstice Mart</t>
  </si>
  <si>
    <t xml:space="preserve">kavya@solstice.com</t>
  </si>
  <si>
    <t xml:space="preserve">12-01-2026</t>
  </si>
  <si>
    <t xml:space="preserve">LD2177</t>
  </si>
  <si>
    <t xml:space="preserve">Foxglove &amp; Co</t>
  </si>
  <si>
    <t xml:space="preserve">aarav@foxglove.com</t>
  </si>
  <si>
    <t xml:space="preserve">27-03-2026</t>
  </si>
  <si>
    <t xml:space="preserve">LD2178</t>
  </si>
  <si>
    <t xml:space="preserve">17-12-2025</t>
  </si>
  <si>
    <t xml:space="preserve">LD2179</t>
  </si>
  <si>
    <t xml:space="preserve">arjun@granite.com</t>
  </si>
  <si>
    <t xml:space="preserve">23-10-2025</t>
  </si>
  <si>
    <t xml:space="preserve">LD2180</t>
  </si>
  <si>
    <t xml:space="preserve">31-01-2025</t>
  </si>
  <si>
    <t xml:space="preserve">06-04-2025</t>
  </si>
  <si>
    <t xml:space="preserve">03-03-2025</t>
  </si>
  <si>
    <t xml:space="preserve">LD2181</t>
  </si>
  <si>
    <t xml:space="preserve">arjun@tidal.com</t>
  </si>
  <si>
    <t xml:space="preserve">19-07-2025</t>
  </si>
  <si>
    <t xml:space="preserve">LD2182</t>
  </si>
  <si>
    <t xml:space="preserve">tanya@tidal.com</t>
  </si>
  <si>
    <t xml:space="preserve">LD2183</t>
  </si>
  <si>
    <t xml:space="preserve">Meridian Solutions</t>
  </si>
  <si>
    <t xml:space="preserve">08-04-2025</t>
  </si>
  <si>
    <t xml:space="preserve">LD2184</t>
  </si>
  <si>
    <t xml:space="preserve">Granite Group</t>
  </si>
  <si>
    <t xml:space="preserve">11-03-2026</t>
  </si>
  <si>
    <t xml:space="preserve">LD2185</t>
  </si>
  <si>
    <t xml:space="preserve">02-08-2025</t>
  </si>
  <si>
    <t xml:space="preserve">LD2186</t>
  </si>
  <si>
    <t xml:space="preserve">kabir@granite.com</t>
  </si>
  <si>
    <t xml:space="preserve">LD2187</t>
  </si>
  <si>
    <t xml:space="preserve">dev@orbit.com</t>
  </si>
  <si>
    <t xml:space="preserve">LD2188</t>
  </si>
  <si>
    <t xml:space="preserve">Summit Enterprises</t>
  </si>
  <si>
    <t xml:space="preserve">04-07-2026</t>
  </si>
  <si>
    <t xml:space="preserve">17-06-2026</t>
  </si>
  <si>
    <t xml:space="preserve">LD2189</t>
  </si>
  <si>
    <t xml:space="preserve">Driftwood Industries</t>
  </si>
  <si>
    <t xml:space="preserve">meera@driftwood.com</t>
  </si>
  <si>
    <t xml:space="preserve">27-05-2025</t>
  </si>
  <si>
    <t xml:space="preserve">LD2190</t>
  </si>
  <si>
    <t xml:space="preserve">Solstice Group</t>
  </si>
  <si>
    <t xml:space="preserve">01-12-2025</t>
  </si>
  <si>
    <t xml:space="preserve">12-02-2026</t>
  </si>
  <si>
    <t xml:space="preserve">LD2191</t>
  </si>
  <si>
    <t xml:space="preserve">Quartz &amp; Co</t>
  </si>
  <si>
    <t xml:space="preserve">LD2192</t>
  </si>
  <si>
    <t xml:space="preserve">yash@bluepeak.com</t>
  </si>
  <si>
    <t xml:space="preserve">03-11-2025</t>
  </si>
  <si>
    <t xml:space="preserve">18-12-2025</t>
  </si>
  <si>
    <t xml:space="preserve">LD2193</t>
  </si>
  <si>
    <t xml:space="preserve">Redshift &amp; Co</t>
  </si>
  <si>
    <t xml:space="preserve">aditya@redshift.com</t>
  </si>
  <si>
    <t xml:space="preserve">LD2194</t>
  </si>
  <si>
    <t xml:space="preserve">Northstar Industries</t>
  </si>
  <si>
    <t xml:space="preserve">nikhil@northstar.com</t>
  </si>
  <si>
    <t xml:space="preserve">15-03-2025</t>
  </si>
  <si>
    <t xml:space="preserve">26-05-2025</t>
  </si>
  <si>
    <t xml:space="preserve">LD2195</t>
  </si>
  <si>
    <t xml:space="preserve">ishita@willow.com</t>
  </si>
  <si>
    <t xml:space="preserve">19-02-2025</t>
  </si>
  <si>
    <t xml:space="preserve">LD2196</t>
  </si>
  <si>
    <t xml:space="preserve">01-11-2025</t>
  </si>
  <si>
    <t xml:space="preserve">LD2197</t>
  </si>
  <si>
    <t xml:space="preserve">tanya@solstice.com</t>
  </si>
  <si>
    <t xml:space="preserve">LD2198</t>
  </si>
  <si>
    <t xml:space="preserve">tanya@ember.com</t>
  </si>
  <si>
    <t xml:space="preserve">01-09-2025</t>
  </si>
  <si>
    <t xml:space="preserve">LD2199</t>
  </si>
  <si>
    <t xml:space="preserve">meera@palm.com</t>
  </si>
  <si>
    <t xml:space="preserve">20-08-2025</t>
  </si>
  <si>
    <t xml:space="preserve">LD2200</t>
  </si>
  <si>
    <t xml:space="preserve">07-05-2026</t>
  </si>
  <si>
    <t xml:space="preserve">LD2201</t>
  </si>
  <si>
    <t xml:space="preserve">Tidal Traders</t>
  </si>
  <si>
    <t xml:space="preserve">kavya@tidal.com</t>
  </si>
  <si>
    <t xml:space="preserve">04-05-2025</t>
  </si>
  <si>
    <t xml:space="preserve">05-06-2025</t>
  </si>
  <si>
    <t xml:space="preserve">LD2202</t>
  </si>
  <si>
    <t xml:space="preserve">Meridian Enterprises</t>
  </si>
  <si>
    <t xml:space="preserve">kavya@meridian.com</t>
  </si>
  <si>
    <t xml:space="preserve">07-02-2026</t>
  </si>
  <si>
    <t xml:space="preserve">LD2203</t>
  </si>
  <si>
    <t xml:space="preserve">Vertex Group</t>
  </si>
  <si>
    <t xml:space="preserve">arjun@vertex.com</t>
  </si>
  <si>
    <t xml:space="preserve">LD2204</t>
  </si>
  <si>
    <t xml:space="preserve">17-07-2025</t>
  </si>
  <si>
    <t xml:space="preserve">10-08-2025</t>
  </si>
  <si>
    <t xml:space="preserve">LD2205</t>
  </si>
  <si>
    <t xml:space="preserve">Nova Enterprises</t>
  </si>
  <si>
    <t xml:space="preserve">aditya@nova.com</t>
  </si>
  <si>
    <t xml:space="preserve">LD2206</t>
  </si>
  <si>
    <t xml:space="preserve">16-07-2026</t>
  </si>
  <si>
    <t xml:space="preserve">LD2207</t>
  </si>
  <si>
    <t xml:space="preserve">Palm Enterprises</t>
  </si>
  <si>
    <t xml:space="preserve">yash@palm.com</t>
  </si>
  <si>
    <t xml:space="preserve">04-12-2025</t>
  </si>
  <si>
    <t xml:space="preserve">08-02-2026</t>
  </si>
  <si>
    <t xml:space="preserve">LD2208</t>
  </si>
  <si>
    <t xml:space="preserve">aditya@vertex.com</t>
  </si>
  <si>
    <t xml:space="preserve">LD2209</t>
  </si>
  <si>
    <t xml:space="preserve">meera@vertex.com</t>
  </si>
  <si>
    <t xml:space="preserve">29-01-2026</t>
  </si>
  <si>
    <t xml:space="preserve">03-04-2026</t>
  </si>
  <si>
    <t xml:space="preserve">LD2210</t>
  </si>
  <si>
    <t xml:space="preserve">13-03-2026</t>
  </si>
  <si>
    <t xml:space="preserve">LD2211</t>
  </si>
  <si>
    <t xml:space="preserve">dev@vertex.com</t>
  </si>
  <si>
    <t xml:space="preserve">LD2212</t>
  </si>
  <si>
    <t xml:space="preserve">aditya@northstar.com</t>
  </si>
  <si>
    <t xml:space="preserve">31-05-2026</t>
  </si>
  <si>
    <t xml:space="preserve">09-07-2026</t>
  </si>
  <si>
    <t xml:space="preserve">19-06-2026</t>
  </si>
  <si>
    <t xml:space="preserve">LD2213</t>
  </si>
  <si>
    <t xml:space="preserve">dev@bluepeak.com</t>
  </si>
  <si>
    <t xml:space="preserve">20-12-2025</t>
  </si>
  <si>
    <t xml:space="preserve">LD2214</t>
  </si>
  <si>
    <t xml:space="preserve">02-11-2025</t>
  </si>
  <si>
    <t xml:space="preserve">18-11-2025</t>
  </si>
  <si>
    <t xml:space="preserve">LD2215</t>
  </si>
  <si>
    <t xml:space="preserve">Crestline Industries</t>
  </si>
  <si>
    <t xml:space="preserve">16-12-2025</t>
  </si>
  <si>
    <t xml:space="preserve">LD2216</t>
  </si>
  <si>
    <t xml:space="preserve">LD2217</t>
  </si>
  <si>
    <t xml:space="preserve">Havenly Enterprises</t>
  </si>
  <si>
    <t xml:space="preserve">zara@havenly.com</t>
  </si>
  <si>
    <t xml:space="preserve">LD2218</t>
  </si>
  <si>
    <t xml:space="preserve">yash@cobalt.com</t>
  </si>
  <si>
    <t xml:space="preserve">15-08-2025</t>
  </si>
  <si>
    <t xml:space="preserve">LD2219</t>
  </si>
  <si>
    <t xml:space="preserve">tanya@havenly.com</t>
  </si>
  <si>
    <t xml:space="preserve">LD2220</t>
  </si>
  <si>
    <t xml:space="preserve">Willow Enterprises</t>
  </si>
  <si>
    <t xml:space="preserve">03-04-2025</t>
  </si>
  <si>
    <t xml:space="preserve">09-05-2025</t>
  </si>
  <si>
    <t xml:space="preserve">LD2221</t>
  </si>
  <si>
    <t xml:space="preserve">Ridge Enterprises</t>
  </si>
  <si>
    <t xml:space="preserve">nikhil@ridge.com</t>
  </si>
  <si>
    <t xml:space="preserve">LD2222</t>
  </si>
  <si>
    <t xml:space="preserve">nikhil@vertex.com</t>
  </si>
  <si>
    <t xml:space="preserve">17-09-2025</t>
  </si>
  <si>
    <t xml:space="preserve">LD2223</t>
  </si>
  <si>
    <t xml:space="preserve">LD2224</t>
  </si>
  <si>
    <t xml:space="preserve">kabir@ridge.com</t>
  </si>
  <si>
    <t xml:space="preserve">04-11-2025</t>
  </si>
  <si>
    <t xml:space="preserve">LD2225</t>
  </si>
  <si>
    <t xml:space="preserve">28-03-2025</t>
  </si>
  <si>
    <t xml:space="preserve">LD2226</t>
  </si>
  <si>
    <t xml:space="preserve">10-01-2025</t>
  </si>
  <si>
    <t xml:space="preserve">LD2227</t>
  </si>
  <si>
    <t xml:space="preserve">Bluepeak Traders</t>
  </si>
  <si>
    <t xml:space="preserve">20-03-2025</t>
  </si>
  <si>
    <t xml:space="preserve">LD2228</t>
  </si>
  <si>
    <t xml:space="preserve">20-05-2025</t>
  </si>
  <si>
    <t xml:space="preserve">16-06-2025</t>
  </si>
  <si>
    <t xml:space="preserve">LD2229</t>
  </si>
  <si>
    <t xml:space="preserve">Solstice Solutions</t>
  </si>
  <si>
    <t xml:space="preserve">vivaan@solstice.com</t>
  </si>
  <si>
    <t xml:space="preserve">LD2230</t>
  </si>
  <si>
    <t xml:space="preserve">Palm Ventures</t>
  </si>
  <si>
    <t xml:space="preserve">21-07-2025</t>
  </si>
  <si>
    <t xml:space="preserve">LD2231</t>
  </si>
  <si>
    <t xml:space="preserve">26-04-2026</t>
  </si>
  <si>
    <t xml:space="preserve">LD2232</t>
  </si>
  <si>
    <t xml:space="preserve">Vertex &amp; Co</t>
  </si>
  <si>
    <t xml:space="preserve">LD2233</t>
  </si>
  <si>
    <t xml:space="preserve">03-01-2026</t>
  </si>
  <si>
    <t xml:space="preserve">LD2234</t>
  </si>
  <si>
    <t xml:space="preserve">tanya@redshift.com</t>
  </si>
  <si>
    <t xml:space="preserve">21-03-2026</t>
  </si>
  <si>
    <t xml:space="preserve">28-02-2026</t>
  </si>
  <si>
    <t xml:space="preserve">LD2235</t>
  </si>
  <si>
    <t xml:space="preserve">zara@lumen.com</t>
  </si>
  <si>
    <t xml:space="preserve">LD2236</t>
  </si>
  <si>
    <t xml:space="preserve">22-10-2025</t>
  </si>
  <si>
    <t xml:space="preserve">LD2237</t>
  </si>
  <si>
    <t xml:space="preserve">06-04-2026</t>
  </si>
  <si>
    <t xml:space="preserve">LD2238</t>
  </si>
  <si>
    <t xml:space="preserve">25-07-2025</t>
  </si>
  <si>
    <t xml:space="preserve">30-08-2025</t>
  </si>
  <si>
    <t xml:space="preserve">LD2239</t>
  </si>
  <si>
    <t xml:space="preserve">kavya@palm.com</t>
  </si>
  <si>
    <t xml:space="preserve">25-07-2026</t>
  </si>
  <si>
    <t xml:space="preserve">LD2240</t>
  </si>
  <si>
    <t xml:space="preserve">kavya@willow.com</t>
  </si>
  <si>
    <t xml:space="preserve">27-11-2025</t>
  </si>
  <si>
    <t xml:space="preserve">LD2241</t>
  </si>
  <si>
    <t xml:space="preserve">28-07-2025</t>
  </si>
  <si>
    <t xml:space="preserve">27-09-2025</t>
  </si>
  <si>
    <t xml:space="preserve">LD2242</t>
  </si>
  <si>
    <t xml:space="preserve">aditya@ironclad.com</t>
  </si>
  <si>
    <t xml:space="preserve">06-06-2026</t>
  </si>
  <si>
    <t xml:space="preserve">LD2243</t>
  </si>
  <si>
    <t xml:space="preserve">22-09-2025</t>
  </si>
  <si>
    <t xml:space="preserve">LD2244</t>
  </si>
  <si>
    <t xml:space="preserve">zara@vertex.com</t>
  </si>
  <si>
    <t xml:space="preserve">04-06-2025</t>
  </si>
  <si>
    <t xml:space="preserve">LD2245</t>
  </si>
  <si>
    <t xml:space="preserve">29-03-2026</t>
  </si>
  <si>
    <t xml:space="preserve">LD2246</t>
  </si>
  <si>
    <t xml:space="preserve">Tidal Industries</t>
  </si>
  <si>
    <t xml:space="preserve">15-01-2026</t>
  </si>
  <si>
    <t xml:space="preserve">LD2247</t>
  </si>
  <si>
    <t xml:space="preserve">Ridge Group</t>
  </si>
  <si>
    <t xml:space="preserve">07-08-2025</t>
  </si>
  <si>
    <t xml:space="preserve">LD2248</t>
  </si>
  <si>
    <t xml:space="preserve">Northstar Retail</t>
  </si>
  <si>
    <t xml:space="preserve">riya@northstar.com</t>
  </si>
  <si>
    <t xml:space="preserve">LD2249</t>
  </si>
  <si>
    <t xml:space="preserve">LD2250</t>
  </si>
  <si>
    <t xml:space="preserve">LD2251</t>
  </si>
  <si>
    <t xml:space="preserve">13-11-2025</t>
  </si>
  <si>
    <t xml:space="preserve">LD2252</t>
  </si>
  <si>
    <t xml:space="preserve">Redshift Ventures</t>
  </si>
  <si>
    <t xml:space="preserve">vivaan@redshift.com</t>
  </si>
  <si>
    <t xml:space="preserve">LD2253</t>
  </si>
  <si>
    <t xml:space="preserve">Tidal Ventures</t>
  </si>
  <si>
    <t xml:space="preserve">vivaan@tidal.com</t>
  </si>
  <si>
    <t xml:space="preserve">17-05-2026</t>
  </si>
  <si>
    <t xml:space="preserve">14-07-2026</t>
  </si>
  <si>
    <t xml:space="preserve">LD2254</t>
  </si>
  <si>
    <t xml:space="preserve">24-05-2025</t>
  </si>
  <si>
    <t xml:space="preserve">LD2255</t>
  </si>
  <si>
    <t xml:space="preserve">01-03-2026</t>
  </si>
  <si>
    <t xml:space="preserve">LD2256</t>
  </si>
  <si>
    <t xml:space="preserve">meera@zenith.com</t>
  </si>
  <si>
    <t xml:space="preserve">LD2257</t>
  </si>
  <si>
    <t xml:space="preserve">Zenith Group</t>
  </si>
  <si>
    <t xml:space="preserve">tanya@zenith.com</t>
  </si>
  <si>
    <t xml:space="preserve">05-10-2025</t>
  </si>
  <si>
    <t xml:space="preserve">LD2258</t>
  </si>
  <si>
    <t xml:space="preserve">LD2259</t>
  </si>
  <si>
    <t xml:space="preserve">riya@granite.com</t>
  </si>
  <si>
    <t xml:space="preserve">26-09-2025</t>
  </si>
  <si>
    <t xml:space="preserve">LD2260</t>
  </si>
  <si>
    <t xml:space="preserve">21-12-2025</t>
  </si>
  <si>
    <t xml:space="preserve">LD2261</t>
  </si>
  <si>
    <t xml:space="preserve">Quartz Retail</t>
  </si>
  <si>
    <t xml:space="preserve">LD2262</t>
  </si>
  <si>
    <t xml:space="preserve">kavya@lumen.com</t>
  </si>
  <si>
    <t xml:space="preserve">LD2263</t>
  </si>
  <si>
    <t xml:space="preserve">LD2264</t>
  </si>
  <si>
    <t xml:space="preserve">kabir@meridian.com</t>
  </si>
  <si>
    <t xml:space="preserve">LD2265</t>
  </si>
  <si>
    <t xml:space="preserve">31-08-2025</t>
  </si>
  <si>
    <t xml:space="preserve">LD2266</t>
  </si>
  <si>
    <t xml:space="preserve">sana@anchor.com</t>
  </si>
  <si>
    <t xml:space="preserve">31-03-2025</t>
  </si>
  <si>
    <t xml:space="preserve">LD2267</t>
  </si>
  <si>
    <t xml:space="preserve">17-01-2025</t>
  </si>
  <si>
    <t xml:space="preserve">LD2268</t>
  </si>
  <si>
    <t xml:space="preserve">LD2269</t>
  </si>
  <si>
    <t xml:space="preserve">Orbit Ventures</t>
  </si>
  <si>
    <t xml:space="preserve">nikhil@orbit.com</t>
  </si>
  <si>
    <t xml:space="preserve">09-12-2025</t>
  </si>
  <si>
    <t xml:space="preserve">LD2270</t>
  </si>
  <si>
    <t xml:space="preserve">pooja@driftwood.com</t>
  </si>
  <si>
    <t xml:space="preserve">09-11-2025</t>
  </si>
  <si>
    <t xml:space="preserve">LD2271</t>
  </si>
  <si>
    <t xml:space="preserve">dev@palm.com</t>
  </si>
  <si>
    <t xml:space="preserve">LD2272</t>
  </si>
  <si>
    <t xml:space="preserve">zara@nova.com</t>
  </si>
  <si>
    <t xml:space="preserve">30-06-2025</t>
  </si>
  <si>
    <t xml:space="preserve">LD2273</t>
  </si>
  <si>
    <t xml:space="preserve">aditya@summit.com</t>
  </si>
  <si>
    <t xml:space="preserve">LD2274</t>
  </si>
  <si>
    <t xml:space="preserve">kavya@anchor.com</t>
  </si>
  <si>
    <t xml:space="preserve">LD2275</t>
  </si>
  <si>
    <t xml:space="preserve">Orbit Solutions</t>
  </si>
  <si>
    <t xml:space="preserve">LD2276</t>
  </si>
  <si>
    <t xml:space="preserve">24-11-2025</t>
  </si>
  <si>
    <t xml:space="preserve">22-01-2026</t>
  </si>
  <si>
    <t xml:space="preserve">LD2277</t>
  </si>
  <si>
    <t xml:space="preserve">04-01-2026</t>
  </si>
  <si>
    <t xml:space="preserve">LD2278</t>
  </si>
  <si>
    <t xml:space="preserve">28-01-2026</t>
  </si>
  <si>
    <t xml:space="preserve">LD2279</t>
  </si>
  <si>
    <t xml:space="preserve">nikhil@foxglove.com</t>
  </si>
  <si>
    <t xml:space="preserve">03-07-2025</t>
  </si>
  <si>
    <t xml:space="preserve">LD2280</t>
  </si>
  <si>
    <t xml:space="preserve">Redshift Retail</t>
  </si>
  <si>
    <t xml:space="preserve">27-05-2026</t>
  </si>
  <si>
    <t xml:space="preserve">LD2281</t>
  </si>
  <si>
    <t xml:space="preserve">sana@cobalt.com</t>
  </si>
  <si>
    <t xml:space="preserve">LD2282</t>
  </si>
  <si>
    <t xml:space="preserve">Bluepeak Enterprises</t>
  </si>
  <si>
    <t xml:space="preserve">aarav@bluepeak.com</t>
  </si>
  <si>
    <t xml:space="preserve">LD2283</t>
  </si>
  <si>
    <t xml:space="preserve">yash@vertex.com</t>
  </si>
  <si>
    <t xml:space="preserve">LD2284</t>
  </si>
  <si>
    <t xml:space="preserve">11-05-2026</t>
  </si>
  <si>
    <t xml:space="preserve">15-07-2026</t>
  </si>
  <si>
    <t xml:space="preserve">LD2285</t>
  </si>
  <si>
    <t xml:space="preserve">vivaan@crestline.com</t>
  </si>
  <si>
    <t xml:space="preserve">01-06-2026</t>
  </si>
  <si>
    <t xml:space="preserve">11-07-2026</t>
  </si>
  <si>
    <t xml:space="preserve">LD2286</t>
  </si>
  <si>
    <t xml:space="preserve">LD2287</t>
  </si>
  <si>
    <t xml:space="preserve">Ridge Solutions</t>
  </si>
  <si>
    <t xml:space="preserve">LD2288</t>
  </si>
  <si>
    <t xml:space="preserve">Anchor Traders</t>
  </si>
  <si>
    <t xml:space="preserve">ishita@anchor.com</t>
  </si>
  <si>
    <t xml:space="preserve">24-01-2025</t>
  </si>
  <si>
    <t xml:space="preserve">10-03-2025</t>
  </si>
  <si>
    <t xml:space="preserve">LD2289</t>
  </si>
  <si>
    <t xml:space="preserve">arjun@zenith.com</t>
  </si>
  <si>
    <t xml:space="preserve">LD2290</t>
  </si>
  <si>
    <t xml:space="preserve">03-08-2025</t>
  </si>
  <si>
    <t xml:space="preserve">23-08-2025</t>
  </si>
  <si>
    <t xml:space="preserve">LD2291</t>
  </si>
  <si>
    <t xml:space="preserve">02-03-2025</t>
  </si>
  <si>
    <t xml:space="preserve">28-01-2025</t>
  </si>
  <si>
    <t xml:space="preserve">LD2292</t>
  </si>
  <si>
    <t xml:space="preserve">LD2293</t>
  </si>
  <si>
    <t xml:space="preserve">Willow Industries</t>
  </si>
  <si>
    <t xml:space="preserve">meera@willow.com</t>
  </si>
  <si>
    <t xml:space="preserve">25-02-2025</t>
  </si>
  <si>
    <t xml:space="preserve">16-04-2025</t>
  </si>
  <si>
    <t xml:space="preserve">LD2294</t>
  </si>
  <si>
    <t xml:space="preserve">Meridian Retail</t>
  </si>
  <si>
    <t xml:space="preserve">tanya@meridian.com</t>
  </si>
  <si>
    <t xml:space="preserve">26-01-2026</t>
  </si>
  <si>
    <t xml:space="preserve">LD2295</t>
  </si>
  <si>
    <t xml:space="preserve">zara@granite.com</t>
  </si>
  <si>
    <t xml:space="preserve">24-07-2025</t>
  </si>
  <si>
    <t xml:space="preserve">LD2296</t>
  </si>
  <si>
    <t xml:space="preserve">12-02-2025</t>
  </si>
  <si>
    <t xml:space="preserve">LD2297</t>
  </si>
  <si>
    <t xml:space="preserve">LD2298</t>
  </si>
  <si>
    <t xml:space="preserve">23-04-2026</t>
  </si>
  <si>
    <t xml:space="preserve">LD2299</t>
  </si>
  <si>
    <t xml:space="preserve">arjun@bluepeak.com</t>
  </si>
  <si>
    <t xml:space="preserve">11-04-2026</t>
  </si>
  <si>
    <t xml:space="preserve">LD2300</t>
  </si>
  <si>
    <t xml:space="preserve">ishita@bluepeak.com</t>
  </si>
  <si>
    <t xml:space="preserve">03-12-2025</t>
  </si>
  <si>
    <t xml:space="preserve">LD2301</t>
  </si>
  <si>
    <t xml:space="preserve">LD2302</t>
  </si>
  <si>
    <t xml:space="preserve">21-03-2025</t>
  </si>
  <si>
    <t xml:space="preserve">LD2303</t>
  </si>
  <si>
    <t xml:space="preserve">13-09-2025</t>
  </si>
  <si>
    <t xml:space="preserve">LD2304</t>
  </si>
  <si>
    <t xml:space="preserve">Lumen Ventures</t>
  </si>
  <si>
    <t xml:space="preserve">vivaan@lumen.com</t>
  </si>
  <si>
    <t xml:space="preserve">23-03-2025</t>
  </si>
  <si>
    <t xml:space="preserve">27-04-2025</t>
  </si>
  <si>
    <t xml:space="preserve">LD2305</t>
  </si>
  <si>
    <t xml:space="preserve">Willow Mart</t>
  </si>
  <si>
    <t xml:space="preserve">riya@willow.com</t>
  </si>
  <si>
    <t xml:space="preserve">12-09-2025</t>
  </si>
  <si>
    <t xml:space="preserve">LD2306</t>
  </si>
  <si>
    <t xml:space="preserve">Foxglove Industries</t>
  </si>
  <si>
    <t xml:space="preserve">LD2307</t>
  </si>
  <si>
    <t xml:space="preserve">LD2308</t>
  </si>
  <si>
    <t xml:space="preserve">01-06-2025</t>
  </si>
  <si>
    <t xml:space="preserve">LD2309</t>
  </si>
  <si>
    <t xml:space="preserve">vivaan@ridge.com</t>
  </si>
  <si>
    <t xml:space="preserve">LD2310</t>
  </si>
  <si>
    <t xml:space="preserve">LD2311</t>
  </si>
  <si>
    <t xml:space="preserve">Havenly Ventures</t>
  </si>
  <si>
    <t xml:space="preserve">riya@havenly.com</t>
  </si>
  <si>
    <t xml:space="preserve">LD2312</t>
  </si>
  <si>
    <t xml:space="preserve">30-03-2026</t>
  </si>
  <si>
    <t xml:space="preserve">LD2313</t>
  </si>
  <si>
    <t xml:space="preserve">arjun@cobalt.com</t>
  </si>
  <si>
    <t xml:space="preserve">LD2314</t>
  </si>
  <si>
    <t xml:space="preserve">Lumen Mart</t>
  </si>
  <si>
    <t xml:space="preserve">ishita@lumen.com</t>
  </si>
  <si>
    <t xml:space="preserve">22-03-2025</t>
  </si>
  <si>
    <t xml:space="preserve">LD2315</t>
  </si>
  <si>
    <t xml:space="preserve">LD2316</t>
  </si>
  <si>
    <t xml:space="preserve">LD2317</t>
  </si>
  <si>
    <t xml:space="preserve">tanya@quartz.com</t>
  </si>
  <si>
    <t xml:space="preserve">LD2318</t>
  </si>
  <si>
    <t xml:space="preserve">LD2319</t>
  </si>
  <si>
    <t xml:space="preserve">kabir@foxglove.com</t>
  </si>
  <si>
    <t xml:space="preserve">15-04-2026</t>
  </si>
  <si>
    <t xml:space="preserve">LD2320</t>
  </si>
  <si>
    <t xml:space="preserve">16-02-2026</t>
  </si>
  <si>
    <t xml:space="preserve">LD2321</t>
  </si>
  <si>
    <t xml:space="preserve">LD2322</t>
  </si>
  <si>
    <t xml:space="preserve">Lumen Industries</t>
  </si>
  <si>
    <t xml:space="preserve">aditya@lumen.com</t>
  </si>
  <si>
    <t xml:space="preserve">LD2323</t>
  </si>
  <si>
    <t xml:space="preserve">LD2324</t>
  </si>
  <si>
    <t xml:space="preserve">aditya@anchor.com</t>
  </si>
  <si>
    <t xml:space="preserve">LD2325</t>
  </si>
  <si>
    <t xml:space="preserve">kabir@redshift.com</t>
  </si>
  <si>
    <t xml:space="preserve">17-03-2025</t>
  </si>
  <si>
    <t xml:space="preserve">29-04-2025</t>
  </si>
  <si>
    <t xml:space="preserve">LD2326</t>
  </si>
  <si>
    <t xml:space="preserve">LD2327</t>
  </si>
  <si>
    <t xml:space="preserve">04-07-2025</t>
  </si>
  <si>
    <t xml:space="preserve">LD2328</t>
  </si>
  <si>
    <t xml:space="preserve">dev@tidal.com</t>
  </si>
  <si>
    <t xml:space="preserve">LD2329</t>
  </si>
  <si>
    <t xml:space="preserve">LD2330</t>
  </si>
  <si>
    <t xml:space="preserve">LD2331</t>
  </si>
  <si>
    <t xml:space="preserve">08-03-2025</t>
  </si>
  <si>
    <t xml:space="preserve">LD2332</t>
  </si>
  <si>
    <t xml:space="preserve">pooja@ridge.com</t>
  </si>
  <si>
    <t xml:space="preserve">LD2333</t>
  </si>
  <si>
    <t xml:space="preserve">LD2334</t>
  </si>
  <si>
    <t xml:space="preserve">29-09-2025</t>
  </si>
  <si>
    <t xml:space="preserve">LD2335</t>
  </si>
  <si>
    <t xml:space="preserve">pooja@meridian.com</t>
  </si>
  <si>
    <t xml:space="preserve">LD2336</t>
  </si>
  <si>
    <t xml:space="preserve">22-05-2025</t>
  </si>
  <si>
    <t xml:space="preserve">29-06-2025</t>
  </si>
  <si>
    <t xml:space="preserve">LD2337</t>
  </si>
  <si>
    <t xml:space="preserve">dev@anchor.com</t>
  </si>
  <si>
    <t xml:space="preserve">01-10-2025</t>
  </si>
  <si>
    <t xml:space="preserve">LD2338</t>
  </si>
  <si>
    <t xml:space="preserve">26-02-2025</t>
  </si>
  <si>
    <t xml:space="preserve">30-03-2025</t>
  </si>
  <si>
    <t xml:space="preserve">LD2339</t>
  </si>
  <si>
    <t xml:space="preserve">yash@granite.com</t>
  </si>
  <si>
    <t xml:space="preserve">LD2340</t>
  </si>
  <si>
    <t xml:space="preserve">LD2341</t>
  </si>
  <si>
    <t xml:space="preserve">Lumen Enterprises</t>
  </si>
  <si>
    <t xml:space="preserve">02-02-2025</t>
  </si>
  <si>
    <t xml:space="preserve">11-04-2025</t>
  </si>
  <si>
    <t xml:space="preserve">LD2342</t>
  </si>
  <si>
    <t xml:space="preserve">LD2343</t>
  </si>
  <si>
    <t xml:space="preserve">dev@willow.com</t>
  </si>
  <si>
    <t xml:space="preserve">LD2344</t>
  </si>
  <si>
    <t xml:space="preserve">10-02-2026</t>
  </si>
  <si>
    <t xml:space="preserve">LD2345</t>
  </si>
  <si>
    <t xml:space="preserve">nikhil@havenly.com</t>
  </si>
  <si>
    <t xml:space="preserve">LD2346</t>
  </si>
  <si>
    <t xml:space="preserve">Cobalt Retail</t>
  </si>
  <si>
    <t xml:space="preserve">riya@cobalt.com</t>
  </si>
  <si>
    <t xml:space="preserve">18-10-2025</t>
  </si>
  <si>
    <t xml:space="preserve">LD2347</t>
  </si>
  <si>
    <t xml:space="preserve">riya@vertex.com</t>
  </si>
  <si>
    <t xml:space="preserve">LD2348</t>
  </si>
  <si>
    <t xml:space="preserve">Summit Mart</t>
  </si>
  <si>
    <t xml:space="preserve">dev@summit.com</t>
  </si>
  <si>
    <t xml:space="preserve">LD2349</t>
  </si>
  <si>
    <t xml:space="preserve">LD2350</t>
  </si>
  <si>
    <t xml:space="preserve">dev@cobalt.com</t>
  </si>
  <si>
    <t xml:space="preserve">03-07-2026</t>
  </si>
  <si>
    <t xml:space="preserve">LD2351</t>
  </si>
  <si>
    <t xml:space="preserve">Vertex Mart</t>
  </si>
  <si>
    <t xml:space="preserve">LD2352</t>
  </si>
  <si>
    <t xml:space="preserve">ishita@orbit.com</t>
  </si>
  <si>
    <t xml:space="preserve">15-05-2025</t>
  </si>
  <si>
    <t xml:space="preserve">26-06-2025</t>
  </si>
  <si>
    <t xml:space="preserve">LD2353</t>
  </si>
  <si>
    <t xml:space="preserve">dev@crestline.com</t>
  </si>
  <si>
    <t xml:space="preserve">LD2354</t>
  </si>
  <si>
    <t xml:space="preserve">13-07-2026</t>
  </si>
  <si>
    <t xml:space="preserve">LD2355</t>
  </si>
  <si>
    <t xml:space="preserve">12-03-2026</t>
  </si>
  <si>
    <t xml:space="preserve">LD2356</t>
  </si>
  <si>
    <t xml:space="preserve">yash@lumen.com</t>
  </si>
  <si>
    <t xml:space="preserve">10-09-2025</t>
  </si>
  <si>
    <t xml:space="preserve">LD2357</t>
  </si>
  <si>
    <t xml:space="preserve">LD2358</t>
  </si>
  <si>
    <t xml:space="preserve">Foxglove Mart</t>
  </si>
  <si>
    <t xml:space="preserve">LD2359</t>
  </si>
  <si>
    <t xml:space="preserve">zara@bluepeak.com</t>
  </si>
  <si>
    <t xml:space="preserve">LD2360</t>
  </si>
  <si>
    <t xml:space="preserve">Northstar &amp; Co</t>
  </si>
  <si>
    <t xml:space="preserve">28-12-2025</t>
  </si>
  <si>
    <t xml:space="preserve">LD2361</t>
  </si>
  <si>
    <t xml:space="preserve">Quartz Mart</t>
  </si>
  <si>
    <t xml:space="preserve">arjun@quartz.com</t>
  </si>
  <si>
    <t xml:space="preserve">LD2362</t>
  </si>
  <si>
    <t xml:space="preserve">Orbit Enterprises</t>
  </si>
  <si>
    <t xml:space="preserve">zara@orbit.com</t>
  </si>
  <si>
    <t xml:space="preserve">22-07-2025</t>
  </si>
  <si>
    <t xml:space="preserve">05-09-2025</t>
  </si>
  <si>
    <t xml:space="preserve">LD2363</t>
  </si>
  <si>
    <t xml:space="preserve">ishita@summit.com</t>
  </si>
  <si>
    <t xml:space="preserve">27-12-2025</t>
  </si>
  <si>
    <t xml:space="preserve">LD2364</t>
  </si>
  <si>
    <t xml:space="preserve">Foxglove Retail</t>
  </si>
  <si>
    <t xml:space="preserve">aditya@foxglove.com</t>
  </si>
  <si>
    <t xml:space="preserve">LD2365</t>
  </si>
  <si>
    <t xml:space="preserve">Summit Ventures</t>
  </si>
  <si>
    <t xml:space="preserve">nikhil@summit.com</t>
  </si>
  <si>
    <t xml:space="preserve">LD2366</t>
  </si>
  <si>
    <t xml:space="preserve">LD2367</t>
  </si>
  <si>
    <t xml:space="preserve">Anchor Group</t>
  </si>
  <si>
    <t xml:space="preserve">24-09-2025</t>
  </si>
  <si>
    <t xml:space="preserve">25-10-2025</t>
  </si>
  <si>
    <t xml:space="preserve">LD2368</t>
  </si>
  <si>
    <t xml:space="preserve">18-05-2026</t>
  </si>
  <si>
    <t xml:space="preserve">LD2369</t>
  </si>
  <si>
    <t xml:space="preserve">LD2370</t>
  </si>
  <si>
    <t xml:space="preserve">LD2371</t>
  </si>
  <si>
    <t xml:space="preserve">LD2372</t>
  </si>
  <si>
    <t xml:space="preserve">aarav@palm.com</t>
  </si>
  <si>
    <t xml:space="preserve">26-12-2025</t>
  </si>
  <si>
    <t xml:space="preserve">LD2373</t>
  </si>
  <si>
    <t xml:space="preserve">LD2374</t>
  </si>
  <si>
    <t xml:space="preserve">LD2375</t>
  </si>
  <si>
    <t xml:space="preserve">LD2376</t>
  </si>
  <si>
    <t xml:space="preserve">dev@ember.com</t>
  </si>
  <si>
    <t xml:space="preserve">29-11-2025</t>
  </si>
  <si>
    <t xml:space="preserve">LD2377</t>
  </si>
  <si>
    <t xml:space="preserve">aditya@quartz.com</t>
  </si>
  <si>
    <t xml:space="preserve">LD2378</t>
  </si>
  <si>
    <t xml:space="preserve">LD2379</t>
  </si>
  <si>
    <t xml:space="preserve">sana@vertex.com</t>
  </si>
  <si>
    <t xml:space="preserve">06-11-2025</t>
  </si>
  <si>
    <t xml:space="preserve">LD2380</t>
  </si>
  <si>
    <t xml:space="preserve">Lumen Solutions</t>
  </si>
  <si>
    <t xml:space="preserve">LD2381</t>
  </si>
  <si>
    <t xml:space="preserve">15-02-2026</t>
  </si>
  <si>
    <t xml:space="preserve">25-03-2026</t>
  </si>
  <si>
    <t xml:space="preserve">LD2382</t>
  </si>
  <si>
    <t xml:space="preserve">09-02-2026</t>
  </si>
  <si>
    <t xml:space="preserve">LD2383</t>
  </si>
  <si>
    <t xml:space="preserve">Bluepeak &amp; Co</t>
  </si>
  <si>
    <t xml:space="preserve">LD2384</t>
  </si>
  <si>
    <t xml:space="preserve">LD2385</t>
  </si>
  <si>
    <t xml:space="preserve">21-10-2025</t>
  </si>
  <si>
    <t xml:space="preserve">LD2386</t>
  </si>
  <si>
    <t xml:space="preserve">riya@ironclad.com</t>
  </si>
  <si>
    <t xml:space="preserve">LD2387</t>
  </si>
  <si>
    <t xml:space="preserve">30-01-2025</t>
  </si>
  <si>
    <t xml:space="preserve">LD2388</t>
  </si>
  <si>
    <t xml:space="preserve">LD2389</t>
  </si>
  <si>
    <t xml:space="preserve">arjun@driftwood.com</t>
  </si>
  <si>
    <t xml:space="preserve">LD2390</t>
  </si>
  <si>
    <t xml:space="preserve">Summit Industries</t>
  </si>
  <si>
    <t xml:space="preserve">LD2391</t>
  </si>
  <si>
    <t xml:space="preserve">aarav@ironclad.com</t>
  </si>
  <si>
    <t xml:space="preserve">LD2392</t>
  </si>
  <si>
    <t xml:space="preserve">LD2393</t>
  </si>
  <si>
    <t xml:space="preserve">LD2394</t>
  </si>
  <si>
    <t xml:space="preserve">20-04-2026</t>
  </si>
  <si>
    <t xml:space="preserve">LD2395</t>
  </si>
  <si>
    <t xml:space="preserve">LD2396</t>
  </si>
  <si>
    <t xml:space="preserve">01-04-2025</t>
  </si>
  <si>
    <t xml:space="preserve">LD2397</t>
  </si>
  <si>
    <t xml:space="preserve">nikhil@nova.com</t>
  </si>
  <si>
    <t xml:space="preserve">01-03-2025</t>
  </si>
  <si>
    <t xml:space="preserve">LD2398</t>
  </si>
  <si>
    <t xml:space="preserve">nikhil@meridian.com</t>
  </si>
  <si>
    <t xml:space="preserve">23-07-2025</t>
  </si>
  <si>
    <t xml:space="preserve">LD2399</t>
  </si>
  <si>
    <t xml:space="preserve">LD2400</t>
  </si>
  <si>
    <t xml:space="preserve">Zenith Industries</t>
  </si>
  <si>
    <t xml:space="preserve">LD2401</t>
  </si>
  <si>
    <t xml:space="preserve">LD2402</t>
  </si>
  <si>
    <t xml:space="preserve">03-09-2025</t>
  </si>
  <si>
    <t xml:space="preserve">LD2403</t>
  </si>
  <si>
    <t xml:space="preserve">LD2404</t>
  </si>
  <si>
    <t xml:space="preserve">LD2405</t>
  </si>
  <si>
    <t xml:space="preserve">Quartz Group</t>
  </si>
  <si>
    <t xml:space="preserve">nikhil@quartz.com</t>
  </si>
  <si>
    <t xml:space="preserve">LD2406</t>
  </si>
  <si>
    <t xml:space="preserve">yash@havenly.com</t>
  </si>
  <si>
    <t xml:space="preserve">LD2407</t>
  </si>
  <si>
    <t xml:space="preserve">kavya@cobalt.com</t>
  </si>
  <si>
    <t xml:space="preserve">LD2408</t>
  </si>
  <si>
    <t xml:space="preserve">tanya@driftwood.com</t>
  </si>
  <si>
    <t xml:space="preserve">07-10-2025</t>
  </si>
  <si>
    <t xml:space="preserve">LD2409</t>
  </si>
  <si>
    <t xml:space="preserve">Palm Solutions</t>
  </si>
  <si>
    <t xml:space="preserve">12-12-2025</t>
  </si>
  <si>
    <t xml:space="preserve">LD2410</t>
  </si>
  <si>
    <t xml:space="preserve">LD2411</t>
  </si>
  <si>
    <t xml:space="preserve">dev@havenly.com</t>
  </si>
  <si>
    <t xml:space="preserve">LD2412</t>
  </si>
  <si>
    <t xml:space="preserve">tanya@orbit.com</t>
  </si>
  <si>
    <t xml:space="preserve">17-06-2025</t>
  </si>
  <si>
    <t xml:space="preserve">LD2413</t>
  </si>
  <si>
    <t xml:space="preserve">25-06-2026</t>
  </si>
  <si>
    <t xml:space="preserve">LD2414</t>
  </si>
  <si>
    <t xml:space="preserve">04-10-2025</t>
  </si>
  <si>
    <t xml:space="preserve">LD2415</t>
  </si>
  <si>
    <t xml:space="preserve">06-05-2026</t>
  </si>
  <si>
    <t xml:space="preserve">LD2416</t>
  </si>
  <si>
    <t xml:space="preserve">pooja@northstar.com</t>
  </si>
  <si>
    <t xml:space="preserve">LD2417</t>
  </si>
  <si>
    <t xml:space="preserve">Tidal Solutions</t>
  </si>
  <si>
    <t xml:space="preserve">sana@tidal.com</t>
  </si>
  <si>
    <t xml:space="preserve">LD2418</t>
  </si>
  <si>
    <t xml:space="preserve">LD2419</t>
  </si>
  <si>
    <t xml:space="preserve">15-10-2025</t>
  </si>
  <si>
    <t xml:space="preserve">LD2420</t>
  </si>
  <si>
    <t xml:space="preserve">21-04-2026</t>
  </si>
  <si>
    <t xml:space="preserve">LD2421</t>
  </si>
  <si>
    <t xml:space="preserve">dev@meridian.com</t>
  </si>
  <si>
    <t xml:space="preserve">LD2422</t>
  </si>
  <si>
    <t xml:space="preserve">LD2423</t>
  </si>
  <si>
    <t xml:space="preserve">aarav@crestline.com</t>
  </si>
  <si>
    <t xml:space="preserve">LD2424</t>
  </si>
  <si>
    <t xml:space="preserve">Foxglove Traders</t>
  </si>
  <si>
    <t xml:space="preserve">19-01-2026</t>
  </si>
  <si>
    <t xml:space="preserve">LD2425</t>
  </si>
  <si>
    <t xml:space="preserve">LD2426</t>
  </si>
  <si>
    <t xml:space="preserve">02-06-2026</t>
  </si>
  <si>
    <t xml:space="preserve">LD2427</t>
  </si>
  <si>
    <t xml:space="preserve">27-04-2026</t>
  </si>
  <si>
    <t xml:space="preserve">20-03-2026</t>
  </si>
  <si>
    <t xml:space="preserve">LD2428</t>
  </si>
  <si>
    <t xml:space="preserve">LD2429</t>
  </si>
  <si>
    <t xml:space="preserve">Driftwood &amp; Co</t>
  </si>
  <si>
    <t xml:space="preserve">13-12-2025</t>
  </si>
  <si>
    <t xml:space="preserve">LD2430</t>
  </si>
  <si>
    <t xml:space="preserve">LD2431</t>
  </si>
  <si>
    <t xml:space="preserve">18-01-2025</t>
  </si>
  <si>
    <t xml:space="preserve">LD2432</t>
  </si>
  <si>
    <t xml:space="preserve">Orbit Retail</t>
  </si>
  <si>
    <t xml:space="preserve">17-04-2025</t>
  </si>
  <si>
    <t xml:space="preserve">LD2433</t>
  </si>
  <si>
    <t xml:space="preserve">09-10-2025</t>
  </si>
  <si>
    <t xml:space="preserve">LD2434</t>
  </si>
  <si>
    <t xml:space="preserve">LD2435</t>
  </si>
  <si>
    <t xml:space="preserve">pooja@lumen.com</t>
  </si>
  <si>
    <t xml:space="preserve">LD2436</t>
  </si>
  <si>
    <t xml:space="preserve">02-07-2025</t>
  </si>
  <si>
    <t xml:space="preserve">LD2437</t>
  </si>
  <si>
    <t xml:space="preserve">aditya@ember.com</t>
  </si>
  <si>
    <t xml:space="preserve">LD2438</t>
  </si>
  <si>
    <t xml:space="preserve">vivaan@northstar.com</t>
  </si>
  <si>
    <t xml:space="preserve">09-02-2025</t>
  </si>
  <si>
    <t xml:space="preserve">LD2439</t>
  </si>
  <si>
    <t xml:space="preserve">yash@orbit.com</t>
  </si>
  <si>
    <t xml:space="preserve">30-11-2025</t>
  </si>
  <si>
    <t xml:space="preserve">LD2440</t>
  </si>
  <si>
    <t xml:space="preserve">14-05-2026</t>
  </si>
  <si>
    <t xml:space="preserve">LD2441</t>
  </si>
  <si>
    <t xml:space="preserve">aarav@orbit.com</t>
  </si>
  <si>
    <t xml:space="preserve">LD2442</t>
  </si>
  <si>
    <t xml:space="preserve">Ironclad Enterprises</t>
  </si>
  <si>
    <t xml:space="preserve">LD2443</t>
  </si>
  <si>
    <t xml:space="preserve">Ridge Ventures</t>
  </si>
  <si>
    <t xml:space="preserve">LD2444</t>
  </si>
  <si>
    <t xml:space="preserve">LD2445</t>
  </si>
  <si>
    <t xml:space="preserve">sana@redshift.com</t>
  </si>
  <si>
    <t xml:space="preserve">LD2446</t>
  </si>
  <si>
    <t xml:space="preserve">arjun@lumen.com</t>
  </si>
  <si>
    <t xml:space="preserve">LD2447</t>
  </si>
  <si>
    <t xml:space="preserve">19-06-2025</t>
  </si>
  <si>
    <t xml:space="preserve">LD2448</t>
  </si>
  <si>
    <t xml:space="preserve">Ridge &amp; Co</t>
  </si>
  <si>
    <t xml:space="preserve">LD2449</t>
  </si>
  <si>
    <t xml:space="preserve">vivaan@palm.com</t>
  </si>
  <si>
    <t xml:space="preserve">20-07-2025</t>
  </si>
  <si>
    <t xml:space="preserve">LD2450</t>
  </si>
  <si>
    <t xml:space="preserve">LD2451</t>
  </si>
  <si>
    <t xml:space="preserve">LD2452</t>
  </si>
  <si>
    <t xml:space="preserve">LD2453</t>
  </si>
  <si>
    <t xml:space="preserve">arjun@meridian.com</t>
  </si>
  <si>
    <t xml:space="preserve">LD2454</t>
  </si>
  <si>
    <t xml:space="preserve">25-01-2025</t>
  </si>
  <si>
    <t xml:space="preserve">LD2455</t>
  </si>
  <si>
    <t xml:space="preserve">09-08-2025</t>
  </si>
  <si>
    <t xml:space="preserve">LD2456</t>
  </si>
  <si>
    <t xml:space="preserve">zara@driftwood.com</t>
  </si>
  <si>
    <t xml:space="preserve">LD2457</t>
  </si>
  <si>
    <t xml:space="preserve">LD2458</t>
  </si>
  <si>
    <t xml:space="preserve">LD2459</t>
  </si>
  <si>
    <t xml:space="preserve">Ironclad Retail</t>
  </si>
  <si>
    <t xml:space="preserve">LD2460</t>
  </si>
  <si>
    <t xml:space="preserve">LD2461</t>
  </si>
  <si>
    <t xml:space="preserve">pooja@willow.com</t>
  </si>
  <si>
    <t xml:space="preserve">05-07-2026</t>
  </si>
  <si>
    <t xml:space="preserve">LD2462</t>
  </si>
  <si>
    <t xml:space="preserve">LD2463</t>
  </si>
  <si>
    <t xml:space="preserve">Havenly Mart</t>
  </si>
  <si>
    <t xml:space="preserve">LD2464</t>
  </si>
  <si>
    <t xml:space="preserve">LD2465</t>
  </si>
  <si>
    <t xml:space="preserve">LD2466</t>
  </si>
  <si>
    <t xml:space="preserve">meera@tidal.com</t>
  </si>
  <si>
    <t xml:space="preserve">LD2467</t>
  </si>
  <si>
    <t xml:space="preserve">LD2468</t>
  </si>
  <si>
    <t xml:space="preserve">dev@foxglove.com</t>
  </si>
  <si>
    <t xml:space="preserve">LD2469</t>
  </si>
  <si>
    <t xml:space="preserve">02-05-2025</t>
  </si>
  <si>
    <t xml:space="preserve">LD2470</t>
  </si>
  <si>
    <t xml:space="preserve">Ember &amp; Co</t>
  </si>
  <si>
    <t xml:space="preserve">19-09-2025</t>
  </si>
  <si>
    <t xml:space="preserve">16-09-2025</t>
  </si>
  <si>
    <t xml:space="preserve">LD2471</t>
  </si>
  <si>
    <t xml:space="preserve">LD2472</t>
  </si>
  <si>
    <t xml:space="preserve">LD2473</t>
  </si>
  <si>
    <t xml:space="preserve">Palm Traders</t>
  </si>
  <si>
    <t xml:space="preserve">02-06-2025</t>
  </si>
  <si>
    <t xml:space="preserve">LD2474</t>
  </si>
  <si>
    <t xml:space="preserve">LD2475</t>
  </si>
  <si>
    <t xml:space="preserve">LD2476</t>
  </si>
  <si>
    <t xml:space="preserve">LD2477</t>
  </si>
  <si>
    <t xml:space="preserve">zara@redshift.com</t>
  </si>
  <si>
    <t xml:space="preserve">LD2478</t>
  </si>
  <si>
    <t xml:space="preserve">LD2479</t>
  </si>
  <si>
    <t xml:space="preserve">tanya@lumen.com</t>
  </si>
  <si>
    <t xml:space="preserve">01-01-2026</t>
  </si>
  <si>
    <t xml:space="preserve">LD2480</t>
  </si>
  <si>
    <t xml:space="preserve">LD2481</t>
  </si>
  <si>
    <t xml:space="preserve">Summit &amp; Co</t>
  </si>
  <si>
    <t xml:space="preserve">LD2482</t>
  </si>
  <si>
    <t xml:space="preserve">Foxglove Solutions</t>
  </si>
  <si>
    <t xml:space="preserve">LD2483</t>
  </si>
  <si>
    <t xml:space="preserve">LD2484</t>
  </si>
  <si>
    <t xml:space="preserve">sana@lumen.com</t>
  </si>
  <si>
    <t xml:space="preserve">LD2485</t>
  </si>
  <si>
    <t xml:space="preserve">vivaan@ember.com</t>
  </si>
  <si>
    <t xml:space="preserve">LD2486</t>
  </si>
  <si>
    <t xml:space="preserve">LD2487</t>
  </si>
  <si>
    <t xml:space="preserve">LD2488</t>
  </si>
  <si>
    <t xml:space="preserve">24-07-2026</t>
  </si>
  <si>
    <t xml:space="preserve">LD2489</t>
  </si>
  <si>
    <t xml:space="preserve">LD2490</t>
  </si>
  <si>
    <t xml:space="preserve">LD2491</t>
  </si>
  <si>
    <t xml:space="preserve">LD2492</t>
  </si>
  <si>
    <t xml:space="preserve">zara@ridge.com</t>
  </si>
  <si>
    <t xml:space="preserve">LD2493</t>
  </si>
  <si>
    <t xml:space="preserve">nikhil@willow.com</t>
  </si>
  <si>
    <t xml:space="preserve">12-07-2025</t>
  </si>
  <si>
    <t xml:space="preserve">LD2494</t>
  </si>
  <si>
    <t xml:space="preserve">LD2495</t>
  </si>
  <si>
    <t xml:space="preserve">LD2496</t>
  </si>
  <si>
    <t xml:space="preserve">LD2497</t>
  </si>
  <si>
    <t xml:space="preserve">ishita@tidal.com</t>
  </si>
  <si>
    <t xml:space="preserve">15-05-2026</t>
  </si>
  <si>
    <t xml:space="preserve">30-06-2026</t>
  </si>
  <si>
    <t xml:space="preserve">LD2498</t>
  </si>
  <si>
    <t xml:space="preserve">11-07-2025</t>
  </si>
  <si>
    <t xml:space="preserve">LD2499</t>
  </si>
  <si>
    <t xml:space="preserve">LD2500</t>
  </si>
  <si>
    <t xml:space="preserve">LD2501</t>
  </si>
  <si>
    <t xml:space="preserve">Driftwood Mart</t>
  </si>
  <si>
    <t xml:space="preserve">19-10-2025</t>
  </si>
  <si>
    <t xml:space="preserve">LD2502</t>
  </si>
  <si>
    <t xml:space="preserve">13-02-2025</t>
  </si>
  <si>
    <t xml:space="preserve">LD2503</t>
  </si>
  <si>
    <t xml:space="preserve">LD2504</t>
  </si>
  <si>
    <t xml:space="preserve">ishita@nova.com</t>
  </si>
  <si>
    <t xml:space="preserve">05-03-2026</t>
  </si>
  <si>
    <t xml:space="preserve">LD2505</t>
  </si>
  <si>
    <t xml:space="preserve">pooja@palm.com</t>
  </si>
  <si>
    <t xml:space="preserve">LD2506</t>
  </si>
  <si>
    <t xml:space="preserve">LD2507</t>
  </si>
  <si>
    <t xml:space="preserve">tanya@foxglove.com</t>
  </si>
  <si>
    <t xml:space="preserve">LD2508</t>
  </si>
  <si>
    <t xml:space="preserve">LD2509</t>
  </si>
  <si>
    <t xml:space="preserve">arjun@solstice.com</t>
  </si>
  <si>
    <t xml:space="preserve">LD2510</t>
  </si>
  <si>
    <t xml:space="preserve">22-08-2025</t>
  </si>
  <si>
    <t xml:space="preserve">LD2511</t>
  </si>
  <si>
    <t xml:space="preserve">kabir@palm.com</t>
  </si>
  <si>
    <t xml:space="preserve">LD2512</t>
  </si>
  <si>
    <t xml:space="preserve">sana@willow.com</t>
  </si>
  <si>
    <t xml:space="preserve">01-07-2025</t>
  </si>
  <si>
    <t xml:space="preserve">LD2513</t>
  </si>
  <si>
    <t xml:space="preserve">LD2514</t>
  </si>
  <si>
    <t xml:space="preserve">kabir@anchor.com</t>
  </si>
  <si>
    <t xml:space="preserve">LD2515</t>
  </si>
  <si>
    <t xml:space="preserve">16-10-2025</t>
  </si>
  <si>
    <t xml:space="preserve">LD2516</t>
  </si>
  <si>
    <t xml:space="preserve">riya@tidal.com</t>
  </si>
  <si>
    <t xml:space="preserve">LD2517</t>
  </si>
  <si>
    <t xml:space="preserve">meera@anchor.com</t>
  </si>
  <si>
    <t xml:space="preserve">LD2518</t>
  </si>
  <si>
    <t xml:space="preserve">LD2519</t>
  </si>
  <si>
    <t xml:space="preserve">LD2520</t>
  </si>
  <si>
    <t xml:space="preserve">aditya@crestline.com</t>
  </si>
  <si>
    <t xml:space="preserve">26-11-2025</t>
  </si>
  <si>
    <t xml:space="preserve">LD2521</t>
  </si>
  <si>
    <t xml:space="preserve">nikhil@ember.com</t>
  </si>
  <si>
    <t xml:space="preserve">LD2522</t>
  </si>
  <si>
    <t xml:space="preserve">LD2523</t>
  </si>
  <si>
    <t xml:space="preserve">tanya@cobalt.com</t>
  </si>
  <si>
    <t xml:space="preserve">14-04-2026</t>
  </si>
  <si>
    <t xml:space="preserve">LD2524</t>
  </si>
  <si>
    <t xml:space="preserve">19-08-2025</t>
  </si>
  <si>
    <t xml:space="preserve">LD2525</t>
  </si>
  <si>
    <t xml:space="preserve">Havenly &amp; Co</t>
  </si>
  <si>
    <t xml:space="preserve">aditya@havenly.com</t>
  </si>
  <si>
    <t xml:space="preserve">LD2526</t>
  </si>
  <si>
    <t xml:space="preserve">LD2527</t>
  </si>
  <si>
    <t xml:space="preserve">LD2528</t>
  </si>
  <si>
    <t xml:space="preserve">sana@summit.com</t>
  </si>
  <si>
    <t xml:space="preserve">LD2529</t>
  </si>
  <si>
    <t xml:space="preserve">LD2530</t>
  </si>
  <si>
    <t xml:space="preserve">LD2531</t>
  </si>
  <si>
    <t xml:space="preserve">LD2532</t>
  </si>
  <si>
    <t xml:space="preserve">LD2533</t>
  </si>
  <si>
    <t xml:space="preserve">LD2534</t>
  </si>
  <si>
    <t xml:space="preserve">aarav@tidal.com</t>
  </si>
  <si>
    <t xml:space="preserve">27-01-2025</t>
  </si>
  <si>
    <t xml:space="preserve">LD2535</t>
  </si>
  <si>
    <t xml:space="preserve">vivaan@orbit.com</t>
  </si>
  <si>
    <t xml:space="preserve">04-04-2026</t>
  </si>
  <si>
    <t xml:space="preserve">LD2536</t>
  </si>
  <si>
    <t xml:space="preserve">LD2537</t>
  </si>
  <si>
    <t xml:space="preserve">LD2538</t>
  </si>
  <si>
    <t xml:space="preserve">dev@nova.com</t>
  </si>
  <si>
    <t xml:space="preserve">LD2539</t>
  </si>
  <si>
    <t xml:space="preserve">LD2540</t>
  </si>
  <si>
    <t xml:space="preserve">LD2541</t>
  </si>
  <si>
    <t xml:space="preserve">LD2542</t>
  </si>
  <si>
    <t xml:space="preserve">10-07-2025</t>
  </si>
  <si>
    <t xml:space="preserve">LD2543</t>
  </si>
  <si>
    <t xml:space="preserve">sana@bluepeak.com</t>
  </si>
  <si>
    <t xml:space="preserve">LD2544</t>
  </si>
  <si>
    <t xml:space="preserve">aarav@lumen.com</t>
  </si>
  <si>
    <t xml:space="preserve">LD2545</t>
  </si>
  <si>
    <t xml:space="preserve">ishita@redshift.com</t>
  </si>
  <si>
    <t xml:space="preserve">LD2546</t>
  </si>
  <si>
    <t xml:space="preserve">15-01-2025</t>
  </si>
  <si>
    <t xml:space="preserve">LD2547</t>
  </si>
  <si>
    <t xml:space="preserve">22-06-2026</t>
  </si>
  <si>
    <t xml:space="preserve">LD2548</t>
  </si>
  <si>
    <t xml:space="preserve">Nova Ventures</t>
  </si>
  <si>
    <t xml:space="preserve">LD2549</t>
  </si>
  <si>
    <t xml:space="preserve">Willow Retail</t>
  </si>
  <si>
    <t xml:space="preserve">zara@willow.com</t>
  </si>
  <si>
    <t xml:space="preserve">LD2550</t>
  </si>
  <si>
    <t xml:space="preserve">LD2551</t>
  </si>
  <si>
    <t xml:space="preserve">28-05-2026</t>
  </si>
  <si>
    <t xml:space="preserve">06-07-2026</t>
  </si>
  <si>
    <t xml:space="preserve">LD2552</t>
  </si>
  <si>
    <t xml:space="preserve">Lumen &amp; Co</t>
  </si>
  <si>
    <t xml:space="preserve">LD2553</t>
  </si>
  <si>
    <t xml:space="preserve">LD2554</t>
  </si>
  <si>
    <t xml:space="preserve">LD2555</t>
  </si>
  <si>
    <t xml:space="preserve">23-12-2025</t>
  </si>
  <si>
    <t xml:space="preserve">LD2556</t>
  </si>
  <si>
    <t xml:space="preserve">23-06-2025</t>
  </si>
  <si>
    <t xml:space="preserve">LD2557</t>
  </si>
  <si>
    <t xml:space="preserve">LD2558</t>
  </si>
  <si>
    <t xml:space="preserve">Cobalt Traders</t>
  </si>
  <si>
    <t xml:space="preserve">LD2559</t>
  </si>
  <si>
    <t xml:space="preserve">Tidal &amp; Co</t>
  </si>
  <si>
    <t xml:space="preserve">LD2560</t>
  </si>
  <si>
    <t xml:space="preserve">Ember Retail</t>
  </si>
  <si>
    <t xml:space="preserve">sana@ember.com</t>
  </si>
  <si>
    <t xml:space="preserve">LD2561</t>
  </si>
  <si>
    <t xml:space="preserve">pooja@foxglove.com</t>
  </si>
  <si>
    <t xml:space="preserve">LD2562</t>
  </si>
  <si>
    <t xml:space="preserve">LD2563</t>
  </si>
  <si>
    <t xml:space="preserve">LD2564</t>
  </si>
  <si>
    <t xml:space="preserve">LD2565</t>
  </si>
  <si>
    <t xml:space="preserve">LD2566</t>
  </si>
  <si>
    <t xml:space="preserve">Anchor Enterprises</t>
  </si>
  <si>
    <t xml:space="preserve">LD2567</t>
  </si>
  <si>
    <t xml:space="preserve">LD2568</t>
  </si>
  <si>
    <t xml:space="preserve">kavya@granite.com</t>
  </si>
  <si>
    <t xml:space="preserve">LD2569</t>
  </si>
  <si>
    <t xml:space="preserve">riya@zenith.com</t>
  </si>
  <si>
    <t xml:space="preserve">LD2570</t>
  </si>
  <si>
    <t xml:space="preserve">23-07-2026</t>
  </si>
  <si>
    <t xml:space="preserve">LD2571</t>
  </si>
  <si>
    <t xml:space="preserve">14-09-2025</t>
  </si>
  <si>
    <t xml:space="preserve">12-10-2025</t>
  </si>
  <si>
    <t xml:space="preserve">LD2572</t>
  </si>
  <si>
    <t xml:space="preserve">LD2573</t>
  </si>
  <si>
    <t xml:space="preserve">LD2574</t>
  </si>
  <si>
    <t xml:space="preserve">meera@nova.com</t>
  </si>
  <si>
    <t xml:space="preserve">LD2575</t>
  </si>
  <si>
    <t xml:space="preserve">meera@redshift.com</t>
  </si>
  <si>
    <t xml:space="preserve">LD2576</t>
  </si>
  <si>
    <t xml:space="preserve">pooja@havenly.com</t>
  </si>
  <si>
    <t xml:space="preserve">LD2577</t>
  </si>
  <si>
    <t xml:space="preserve">LD2578</t>
  </si>
  <si>
    <t xml:space="preserve">LD2579</t>
  </si>
  <si>
    <t xml:space="preserve">LD2580</t>
  </si>
  <si>
    <t xml:space="preserve">LD2581</t>
  </si>
  <si>
    <t xml:space="preserve">25-09-2025</t>
  </si>
  <si>
    <t xml:space="preserve">LD2582</t>
  </si>
  <si>
    <t xml:space="preserve">LD2583</t>
  </si>
  <si>
    <t xml:space="preserve">14-12-2025</t>
  </si>
  <si>
    <t xml:space="preserve">LD2584</t>
  </si>
  <si>
    <t xml:space="preserve">LD2585</t>
  </si>
  <si>
    <t xml:space="preserve">vivaan@havenly.com</t>
  </si>
  <si>
    <t xml:space="preserve">LD2586</t>
  </si>
  <si>
    <t xml:space="preserve">LD2587</t>
  </si>
  <si>
    <t xml:space="preserve">Cobalt Group</t>
  </si>
  <si>
    <t xml:space="preserve">aditya@cobalt.com</t>
  </si>
  <si>
    <t xml:space="preserve">LD2588</t>
  </si>
  <si>
    <t xml:space="preserve">dev@zenith.com</t>
  </si>
  <si>
    <t xml:space="preserve">LD2589</t>
  </si>
  <si>
    <t xml:space="preserve">meera@solstice.com</t>
  </si>
  <si>
    <t xml:space="preserve">LD2590</t>
  </si>
  <si>
    <t xml:space="preserve">LD2591</t>
  </si>
  <si>
    <t xml:space="preserve">LD2592</t>
  </si>
  <si>
    <t xml:space="preserve">LD2593</t>
  </si>
  <si>
    <t xml:space="preserve">LD2594</t>
  </si>
  <si>
    <t xml:space="preserve">30-05-2025</t>
  </si>
  <si>
    <t xml:space="preserve">22-06-2025</t>
  </si>
  <si>
    <t xml:space="preserve">LD2595</t>
  </si>
  <si>
    <t xml:space="preserve">Solstice Retail</t>
  </si>
  <si>
    <t xml:space="preserve">08-09-2025</t>
  </si>
  <si>
    <t xml:space="preserve">LD2596</t>
  </si>
  <si>
    <t xml:space="preserve">kabir@summit.com</t>
  </si>
  <si>
    <t xml:space="preserve">LD2597</t>
  </si>
  <si>
    <t xml:space="preserve">18-03-2025</t>
  </si>
  <si>
    <t xml:space="preserve">LD2598</t>
  </si>
  <si>
    <t xml:space="preserve">LD2599</t>
  </si>
  <si>
    <t xml:space="preserve">LD2600</t>
  </si>
  <si>
    <t xml:space="preserve">25-05-2025</t>
  </si>
  <si>
    <t xml:space="preserve">B2B Sales Pipeline — Funnel Summary</t>
  </si>
  <si>
    <t xml:space="preserve">Leads</t>
  </si>
  <si>
    <t xml:space="preserve">Stage Value (INR)</t>
  </si>
  <si>
    <t xml:space="preserve">% of Total Leads</t>
  </si>
  <si>
    <t xml:space="preserve">Conversion from Prev Stage %</t>
  </si>
  <si>
    <t xml:space="preserve">—</t>
  </si>
  <si>
    <t xml:space="preserve">Negotiation</t>
  </si>
  <si>
    <t xml:space="preserve">Overall Win Rate (Closed Won / Closed Won+Lost)</t>
  </si>
  <si>
    <t xml:space="preserve">Total Open Pipeline Value (INR)</t>
  </si>
  <si>
    <t xml:space="preserve">Weighted Open Pipeline Value (INR)</t>
  </si>
  <si>
    <t xml:space="preserve">Closed Won Revenue (INR)</t>
  </si>
  <si>
    <t xml:space="preserve">Average Deal Size — Closed Won (INR)</t>
  </si>
  <si>
    <t xml:space="preserve">Total Leads</t>
  </si>
  <si>
    <t xml:space="preserve">Deals Won</t>
  </si>
  <si>
    <t xml:space="preserve">Win Rate %</t>
  </si>
  <si>
    <t xml:space="preserve">Revenue Won (INR)</t>
  </si>
  <si>
    <t xml:space="preserve">Leads Owned</t>
  </si>
  <si>
    <t xml:space="preserve">Revenue Closed (INR)</t>
  </si>
  <si>
    <t xml:space="preserve">BANT Qualification Scoring Rubric</t>
  </si>
  <si>
    <t xml:space="preserve">Score</t>
  </si>
  <si>
    <t xml:space="preserve">Budget</t>
  </si>
  <si>
    <t xml:space="preserve">Authority</t>
  </si>
  <si>
    <t xml:space="preserve">Need</t>
  </si>
  <si>
    <t xml:space="preserve">Timeline</t>
  </si>
  <si>
    <t xml:space="preserve">No budget allocated</t>
  </si>
  <si>
    <t xml:space="preserve">Individual contributor</t>
  </si>
  <si>
    <t xml:space="preserve">Vague interest</t>
  </si>
  <si>
    <t xml:space="preserve">No timeline</t>
  </si>
  <si>
    <t xml:space="preserve">Budget exists, needs approval</t>
  </si>
  <si>
    <t xml:space="preserve">Influences decision</t>
  </si>
  <si>
    <t xml:space="preserve">Acknowledged problem</t>
  </si>
  <si>
    <t xml:space="preserve">Buying in 2 quarters</t>
  </si>
  <si>
    <t xml:space="preserve">Budget confirmed &amp; approved</t>
  </si>
  <si>
    <t xml:space="preserve">Final decision-maker</t>
  </si>
  <si>
    <t xml:space="preserve">Clear quantified pain point</t>
  </si>
  <si>
    <t xml:space="preserve">Buying in 30-60 days</t>
  </si>
  <si>
    <t xml:space="preserve">Win Rate by BANT Score Band (live from Pipeline data)</t>
  </si>
  <si>
    <t xml:space="preserve">BANT Band</t>
  </si>
  <si>
    <t xml:space="preserve">0-10 (Poor fit)</t>
  </si>
  <si>
    <t xml:space="preserve">11-14 (Weak fit)</t>
  </si>
  <si>
    <t xml:space="preserve">15-17 (Good fit)</t>
  </si>
  <si>
    <t xml:space="preserve">18-20 (Strong fit)</t>
  </si>
  <si>
    <t xml:space="preserve">Deals Lost</t>
  </si>
  <si>
    <t xml:space="preserve">Revenue Lost (INR)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</si>
</sst>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4"/>
      <color rgb="FF2E4E3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4E3F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E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6" min="3" style="0" width="15"/>
    <col collapsed="false" customWidth="true" hidden="false" outlineLevel="0" max="7" min="7" style="0" width="24"/>
    <col collapsed="false" customWidth="true" hidden="false" outlineLevel="0" max="24" min="8" style="0" width="1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0" t="s">
        <v>32</v>
      </c>
      <c r="J2" s="0" t="s">
        <v>33</v>
      </c>
      <c r="K2" s="0" t="n">
        <v>5</v>
      </c>
      <c r="L2" s="0" t="n">
        <v>3</v>
      </c>
      <c r="M2" s="0" t="n">
        <v>4</v>
      </c>
      <c r="N2" s="0" t="n">
        <v>4</v>
      </c>
      <c r="O2" s="0" t="n">
        <f aca="false">SUM(K2:N2)</f>
        <v>16</v>
      </c>
      <c r="P2" s="0" t="str">
        <f aca="false">IF(O2&gt;=15,"Yes","No")</f>
        <v>Yes</v>
      </c>
      <c r="Q2" s="0" t="s">
        <v>34</v>
      </c>
      <c r="R2" s="2" t="n">
        <v>194000</v>
      </c>
      <c r="S2" s="3" t="n">
        <v>1</v>
      </c>
      <c r="T2" s="2" t="n">
        <f aca="false">R2*S2</f>
        <v>194000</v>
      </c>
      <c r="U2" s="4" t="s">
        <v>35</v>
      </c>
      <c r="V2" s="4" t="s">
        <v>36</v>
      </c>
      <c r="W2" s="0" t="n">
        <v>40</v>
      </c>
    </row>
    <row r="3" customFormat="false" ht="15" hidden="false" customHeight="false" outlineLevel="0" collapsed="false">
      <c r="A3" s="0" t="s">
        <v>37</v>
      </c>
      <c r="B3" s="0" t="s">
        <v>38</v>
      </c>
      <c r="C3" s="0" t="s">
        <v>39</v>
      </c>
      <c r="D3" s="0" t="s">
        <v>27</v>
      </c>
      <c r="E3" s="0" t="s">
        <v>40</v>
      </c>
      <c r="F3" s="0" t="s">
        <v>41</v>
      </c>
      <c r="G3" s="0" t="s">
        <v>42</v>
      </c>
      <c r="H3" s="0" t="s">
        <v>43</v>
      </c>
      <c r="I3" s="0" t="s">
        <v>44</v>
      </c>
      <c r="J3" s="0" t="s">
        <v>45</v>
      </c>
      <c r="K3" s="0" t="n">
        <v>4</v>
      </c>
      <c r="L3" s="0" t="n">
        <v>4</v>
      </c>
      <c r="M3" s="0" t="n">
        <v>5</v>
      </c>
      <c r="N3" s="0" t="n">
        <v>4</v>
      </c>
      <c r="O3" s="0" t="n">
        <f aca="false">SUM(K3:N3)</f>
        <v>17</v>
      </c>
      <c r="P3" s="0" t="str">
        <f aca="false">IF(O3&gt;=15,"Yes","No")</f>
        <v>Yes</v>
      </c>
      <c r="Q3" s="0" t="s">
        <v>46</v>
      </c>
      <c r="R3" s="2" t="n">
        <v>229000</v>
      </c>
      <c r="S3" s="3" t="n">
        <v>0</v>
      </c>
      <c r="T3" s="2" t="n">
        <f aca="false">R3*S3</f>
        <v>0</v>
      </c>
      <c r="U3" s="4" t="s">
        <v>47</v>
      </c>
      <c r="V3" s="4" t="s">
        <v>48</v>
      </c>
      <c r="W3" s="0" t="n">
        <v>40</v>
      </c>
      <c r="X3" s="4" t="s">
        <v>49</v>
      </c>
    </row>
    <row r="4" customFormat="false" ht="15" hidden="false" customHeight="false" outlineLevel="0" collapsed="false">
      <c r="A4" s="0" t="s">
        <v>50</v>
      </c>
      <c r="B4" s="0" t="s">
        <v>51</v>
      </c>
      <c r="C4" s="0" t="s">
        <v>52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  <c r="J4" s="0" t="s">
        <v>59</v>
      </c>
      <c r="K4" s="0" t="n">
        <v>1</v>
      </c>
      <c r="L4" s="0" t="n">
        <v>2</v>
      </c>
      <c r="M4" s="0" t="n">
        <v>3</v>
      </c>
      <c r="N4" s="0" t="n">
        <v>2</v>
      </c>
      <c r="O4" s="0" t="n">
        <f aca="false">SUM(K4:N4)</f>
        <v>8</v>
      </c>
      <c r="P4" s="0" t="str">
        <f aca="false">IF(O4&gt;=15,"Yes","No")</f>
        <v>No</v>
      </c>
      <c r="Q4" s="0" t="s">
        <v>60</v>
      </c>
      <c r="R4" s="2" t="n">
        <v>578000</v>
      </c>
      <c r="S4" s="3" t="n">
        <v>0.15</v>
      </c>
      <c r="T4" s="2" t="n">
        <f aca="false">R4*S4</f>
        <v>86700</v>
      </c>
      <c r="U4" s="4" t="s">
        <v>61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s">
        <v>26</v>
      </c>
      <c r="D5" s="0" t="s">
        <v>64</v>
      </c>
      <c r="E5" s="0" t="s">
        <v>65</v>
      </c>
      <c r="F5" s="0" t="s">
        <v>41</v>
      </c>
      <c r="G5" s="0" t="s">
        <v>66</v>
      </c>
      <c r="H5" s="0" t="s">
        <v>67</v>
      </c>
      <c r="I5" s="0" t="s">
        <v>68</v>
      </c>
      <c r="J5" s="0" t="s">
        <v>69</v>
      </c>
      <c r="K5" s="0" t="n">
        <v>4</v>
      </c>
      <c r="L5" s="0" t="n">
        <v>3</v>
      </c>
      <c r="M5" s="0" t="n">
        <v>3</v>
      </c>
      <c r="N5" s="0" t="n">
        <v>3</v>
      </c>
      <c r="O5" s="0" t="n">
        <f aca="false">SUM(K5:N5)</f>
        <v>13</v>
      </c>
      <c r="P5" s="0" t="str">
        <f aca="false">IF(O5&gt;=15,"Yes","No")</f>
        <v>No</v>
      </c>
      <c r="Q5" s="0" t="s">
        <v>70</v>
      </c>
      <c r="R5" s="2" t="n">
        <v>3009000</v>
      </c>
      <c r="S5" s="3" t="n">
        <v>0.55</v>
      </c>
      <c r="T5" s="2" t="n">
        <f aca="false">R5*S5</f>
        <v>1654950</v>
      </c>
      <c r="U5" s="4" t="s">
        <v>71</v>
      </c>
    </row>
    <row r="6" customFormat="false" ht="15" hidden="false" customHeight="false" outlineLevel="0" collapsed="false">
      <c r="A6" s="0" t="s">
        <v>72</v>
      </c>
      <c r="B6" s="0" t="s">
        <v>73</v>
      </c>
      <c r="C6" s="0" t="s">
        <v>74</v>
      </c>
      <c r="D6" s="0" t="s">
        <v>27</v>
      </c>
      <c r="E6" s="0" t="s">
        <v>65</v>
      </c>
      <c r="F6" s="0" t="s">
        <v>75</v>
      </c>
      <c r="G6" s="0" t="s">
        <v>76</v>
      </c>
      <c r="H6" s="0" t="s">
        <v>43</v>
      </c>
      <c r="I6" s="0" t="s">
        <v>77</v>
      </c>
      <c r="J6" s="0" t="s">
        <v>78</v>
      </c>
      <c r="K6" s="0" t="n">
        <v>4</v>
      </c>
      <c r="L6" s="0" t="n">
        <v>2</v>
      </c>
      <c r="M6" s="0" t="n">
        <v>5</v>
      </c>
      <c r="N6" s="0" t="n">
        <v>4</v>
      </c>
      <c r="O6" s="0" t="n">
        <f aca="false">SUM(K6:N6)</f>
        <v>15</v>
      </c>
      <c r="P6" s="0" t="str">
        <f aca="false">IF(O6&gt;=15,"Yes","No")</f>
        <v>Yes</v>
      </c>
      <c r="Q6" s="0" t="s">
        <v>46</v>
      </c>
      <c r="R6" s="2" t="n">
        <v>213000</v>
      </c>
      <c r="S6" s="3" t="n">
        <v>0</v>
      </c>
      <c r="T6" s="2" t="n">
        <f aca="false">R6*S6</f>
        <v>0</v>
      </c>
      <c r="U6" s="4" t="s">
        <v>79</v>
      </c>
      <c r="V6" s="4" t="s">
        <v>80</v>
      </c>
      <c r="W6" s="0" t="n">
        <v>19</v>
      </c>
      <c r="X6" s="4" t="s">
        <v>81</v>
      </c>
    </row>
    <row r="7" customFormat="false" ht="15" hidden="false" customHeight="false" outlineLevel="0" collapsed="false">
      <c r="A7" s="0" t="s">
        <v>82</v>
      </c>
      <c r="B7" s="0" t="s">
        <v>83</v>
      </c>
      <c r="C7" s="0" t="s">
        <v>74</v>
      </c>
      <c r="D7" s="0" t="s">
        <v>27</v>
      </c>
      <c r="E7" s="0" t="s">
        <v>84</v>
      </c>
      <c r="F7" s="0" t="s">
        <v>55</v>
      </c>
      <c r="G7" s="0" t="s">
        <v>85</v>
      </c>
      <c r="H7" s="0" t="s">
        <v>86</v>
      </c>
      <c r="I7" s="0" t="s">
        <v>87</v>
      </c>
      <c r="J7" s="0" t="s">
        <v>45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f aca="false">SUM(K7:N7)</f>
        <v>4</v>
      </c>
      <c r="P7" s="0" t="str">
        <f aca="false">IF(O7&gt;=15,"Yes","No")</f>
        <v>No</v>
      </c>
      <c r="Q7" s="0" t="s">
        <v>46</v>
      </c>
      <c r="R7" s="2" t="n">
        <v>191000</v>
      </c>
      <c r="S7" s="3" t="n">
        <v>0</v>
      </c>
      <c r="T7" s="2" t="n">
        <f aca="false">R7*S7</f>
        <v>0</v>
      </c>
      <c r="U7" s="4" t="s">
        <v>88</v>
      </c>
      <c r="V7" s="4" t="s">
        <v>89</v>
      </c>
      <c r="W7" s="0" t="n">
        <v>14</v>
      </c>
      <c r="X7" s="4" t="s">
        <v>81</v>
      </c>
    </row>
    <row r="8" customFormat="false" ht="15" hidden="false" customHeight="false" outlineLevel="0" collapsed="false">
      <c r="A8" s="0" t="s">
        <v>90</v>
      </c>
      <c r="B8" s="0" t="s">
        <v>91</v>
      </c>
      <c r="C8" s="0" t="s">
        <v>26</v>
      </c>
      <c r="D8" s="0" t="s">
        <v>27</v>
      </c>
      <c r="E8" s="0" t="s">
        <v>92</v>
      </c>
      <c r="F8" s="0" t="s">
        <v>41</v>
      </c>
      <c r="G8" s="0" t="s">
        <v>93</v>
      </c>
      <c r="H8" s="0" t="s">
        <v>31</v>
      </c>
      <c r="I8" s="0" t="s">
        <v>94</v>
      </c>
      <c r="J8" s="0" t="s">
        <v>45</v>
      </c>
      <c r="K8" s="0" t="n">
        <v>5</v>
      </c>
      <c r="L8" s="0" t="n">
        <v>3</v>
      </c>
      <c r="M8" s="0" t="n">
        <v>3</v>
      </c>
      <c r="N8" s="0" t="n">
        <v>5</v>
      </c>
      <c r="O8" s="0" t="n">
        <f aca="false">SUM(K8:N8)</f>
        <v>16</v>
      </c>
      <c r="P8" s="0" t="str">
        <f aca="false">IF(O8&gt;=15,"Yes","No")</f>
        <v>Yes</v>
      </c>
      <c r="Q8" s="0" t="s">
        <v>34</v>
      </c>
      <c r="R8" s="2" t="n">
        <v>202000</v>
      </c>
      <c r="S8" s="3" t="n">
        <v>1</v>
      </c>
      <c r="T8" s="2" t="n">
        <f aca="false">R8*S8</f>
        <v>202000</v>
      </c>
      <c r="U8" s="4" t="s">
        <v>95</v>
      </c>
      <c r="V8" s="4" t="s">
        <v>96</v>
      </c>
      <c r="W8" s="0" t="n">
        <v>37</v>
      </c>
    </row>
    <row r="9" customFormat="false" ht="15" hidden="false" customHeight="false" outlineLevel="0" collapsed="false">
      <c r="A9" s="0" t="s">
        <v>97</v>
      </c>
      <c r="B9" s="0" t="s">
        <v>98</v>
      </c>
      <c r="C9" s="0" t="s">
        <v>39</v>
      </c>
      <c r="D9" s="0" t="s">
        <v>27</v>
      </c>
      <c r="E9" s="0" t="s">
        <v>99</v>
      </c>
      <c r="F9" s="0" t="s">
        <v>29</v>
      </c>
      <c r="G9" s="0" t="s">
        <v>100</v>
      </c>
      <c r="H9" s="0" t="s">
        <v>86</v>
      </c>
      <c r="I9" s="0" t="s">
        <v>101</v>
      </c>
      <c r="J9" s="0" t="s">
        <v>69</v>
      </c>
      <c r="K9" s="0" t="n">
        <v>1</v>
      </c>
      <c r="L9" s="0" t="n">
        <v>1</v>
      </c>
      <c r="M9" s="0" t="n">
        <v>3</v>
      </c>
      <c r="N9" s="0" t="n">
        <v>1</v>
      </c>
      <c r="O9" s="0" t="n">
        <f aca="false">SUM(K9:N9)</f>
        <v>6</v>
      </c>
      <c r="P9" s="0" t="str">
        <f aca="false">IF(O9&gt;=15,"Yes","No")</f>
        <v>No</v>
      </c>
      <c r="Q9" s="0" t="s">
        <v>60</v>
      </c>
      <c r="R9" s="2" t="n">
        <v>178000</v>
      </c>
      <c r="S9" s="3" t="n">
        <v>0.15</v>
      </c>
      <c r="T9" s="2" t="n">
        <f aca="false">R9*S9</f>
        <v>26700</v>
      </c>
      <c r="U9" s="4" t="s">
        <v>102</v>
      </c>
    </row>
    <row r="10" customFormat="false" ht="15" hidden="false" customHeight="false" outlineLevel="0" collapsed="false">
      <c r="A10" s="0" t="s">
        <v>103</v>
      </c>
      <c r="B10" s="0" t="s">
        <v>104</v>
      </c>
      <c r="C10" s="0" t="s">
        <v>26</v>
      </c>
      <c r="D10" s="0" t="s">
        <v>27</v>
      </c>
      <c r="E10" s="0" t="s">
        <v>105</v>
      </c>
      <c r="F10" s="0" t="s">
        <v>55</v>
      </c>
      <c r="G10" s="0" t="s">
        <v>106</v>
      </c>
      <c r="H10" s="0" t="s">
        <v>43</v>
      </c>
      <c r="I10" s="0" t="s">
        <v>107</v>
      </c>
      <c r="J10" s="0" t="s">
        <v>59</v>
      </c>
      <c r="K10" s="0" t="n">
        <v>5</v>
      </c>
      <c r="L10" s="0" t="n">
        <v>4</v>
      </c>
      <c r="M10" s="0" t="n">
        <v>5</v>
      </c>
      <c r="N10" s="0" t="n">
        <v>4</v>
      </c>
      <c r="O10" s="0" t="n">
        <f aca="false">SUM(K10:N10)</f>
        <v>18</v>
      </c>
      <c r="P10" s="0" t="str">
        <f aca="false">IF(O10&gt;=15,"Yes","No")</f>
        <v>Yes</v>
      </c>
      <c r="Q10" s="0" t="s">
        <v>60</v>
      </c>
      <c r="R10" s="2" t="n">
        <v>156000</v>
      </c>
      <c r="S10" s="3" t="n">
        <v>0.15</v>
      </c>
      <c r="T10" s="2" t="n">
        <f aca="false">R10*S10</f>
        <v>23400</v>
      </c>
      <c r="U10" s="4" t="s">
        <v>108</v>
      </c>
    </row>
    <row r="11" customFormat="false" ht="15" hidden="false" customHeight="false" outlineLevel="0" collapsed="false">
      <c r="A11" s="0" t="s">
        <v>109</v>
      </c>
      <c r="B11" s="0" t="s">
        <v>110</v>
      </c>
      <c r="C11" s="0" t="s">
        <v>39</v>
      </c>
      <c r="D11" s="0" t="s">
        <v>27</v>
      </c>
      <c r="E11" s="0" t="s">
        <v>111</v>
      </c>
      <c r="F11" s="0" t="s">
        <v>112</v>
      </c>
      <c r="G11" s="0" t="s">
        <v>113</v>
      </c>
      <c r="H11" s="0" t="s">
        <v>86</v>
      </c>
      <c r="I11" s="0" t="s">
        <v>114</v>
      </c>
      <c r="J11" s="0" t="s">
        <v>69</v>
      </c>
      <c r="K11" s="0" t="n">
        <v>1</v>
      </c>
      <c r="L11" s="0" t="n">
        <v>3</v>
      </c>
      <c r="M11" s="0" t="n">
        <v>4</v>
      </c>
      <c r="N11" s="0" t="n">
        <v>1</v>
      </c>
      <c r="O11" s="0" t="n">
        <f aca="false">SUM(K11:N11)</f>
        <v>9</v>
      </c>
      <c r="P11" s="0" t="str">
        <f aca="false">IF(O11&gt;=15,"Yes","No")</f>
        <v>No</v>
      </c>
      <c r="Q11" s="0" t="s">
        <v>115</v>
      </c>
      <c r="R11" s="2" t="n">
        <v>196000</v>
      </c>
      <c r="S11" s="3" t="n">
        <v>0.35</v>
      </c>
      <c r="T11" s="2" t="n">
        <f aca="false">R11*S11</f>
        <v>68600</v>
      </c>
      <c r="U11" s="4" t="s">
        <v>116</v>
      </c>
    </row>
    <row r="12" customFormat="false" ht="15" hidden="false" customHeight="false" outlineLevel="0" collapsed="false">
      <c r="A12" s="0" t="s">
        <v>117</v>
      </c>
      <c r="B12" s="0" t="s">
        <v>118</v>
      </c>
      <c r="C12" s="0" t="s">
        <v>26</v>
      </c>
      <c r="D12" s="0" t="s">
        <v>53</v>
      </c>
      <c r="E12" s="0" t="s">
        <v>119</v>
      </c>
      <c r="F12" s="0" t="s">
        <v>55</v>
      </c>
      <c r="G12" s="0" t="s">
        <v>120</v>
      </c>
      <c r="H12" s="0" t="s">
        <v>67</v>
      </c>
      <c r="I12" s="0" t="s">
        <v>121</v>
      </c>
      <c r="J12" s="0" t="s">
        <v>33</v>
      </c>
      <c r="K12" s="0" t="n">
        <v>3</v>
      </c>
      <c r="L12" s="0" t="n">
        <v>2</v>
      </c>
      <c r="M12" s="0" t="n">
        <v>5</v>
      </c>
      <c r="N12" s="0" t="n">
        <v>3</v>
      </c>
      <c r="O12" s="0" t="n">
        <f aca="false">SUM(K12:N12)</f>
        <v>13</v>
      </c>
      <c r="P12" s="0" t="str">
        <f aca="false">IF(O12&gt;=15,"Yes","No")</f>
        <v>No</v>
      </c>
      <c r="Q12" s="0" t="s">
        <v>60</v>
      </c>
      <c r="R12" s="2" t="n">
        <v>891000</v>
      </c>
      <c r="S12" s="3" t="n">
        <v>0.15</v>
      </c>
      <c r="T12" s="2" t="n">
        <f aca="false">R12*S12</f>
        <v>133650</v>
      </c>
      <c r="U12" s="4" t="s">
        <v>44</v>
      </c>
    </row>
    <row r="13" customFormat="false" ht="15" hidden="false" customHeight="false" outlineLevel="0" collapsed="false">
      <c r="A13" s="0" t="s">
        <v>122</v>
      </c>
      <c r="B13" s="0" t="s">
        <v>123</v>
      </c>
      <c r="C13" s="0" t="s">
        <v>74</v>
      </c>
      <c r="D13" s="0" t="s">
        <v>53</v>
      </c>
      <c r="E13" s="0" t="s">
        <v>40</v>
      </c>
      <c r="F13" s="0" t="s">
        <v>41</v>
      </c>
      <c r="G13" s="0" t="s">
        <v>124</v>
      </c>
      <c r="H13" s="0" t="s">
        <v>86</v>
      </c>
      <c r="I13" s="0" t="s">
        <v>125</v>
      </c>
      <c r="J13" s="0" t="s">
        <v>45</v>
      </c>
      <c r="K13" s="0" t="n">
        <v>1</v>
      </c>
      <c r="L13" s="0" t="n">
        <v>2</v>
      </c>
      <c r="M13" s="0" t="n">
        <v>2</v>
      </c>
      <c r="N13" s="0" t="n">
        <v>1</v>
      </c>
      <c r="O13" s="0" t="n">
        <f aca="false">SUM(K13:N13)</f>
        <v>6</v>
      </c>
      <c r="P13" s="0" t="str">
        <f aca="false">IF(O13&gt;=15,"Yes","No")</f>
        <v>No</v>
      </c>
      <c r="Q13" s="0" t="s">
        <v>60</v>
      </c>
      <c r="R13" s="2" t="n">
        <v>587000</v>
      </c>
      <c r="S13" s="3" t="n">
        <v>0.15</v>
      </c>
      <c r="T13" s="2" t="n">
        <f aca="false">R13*S13</f>
        <v>88050</v>
      </c>
      <c r="U13" s="4" t="s">
        <v>126</v>
      </c>
    </row>
    <row r="14" customFormat="false" ht="15" hidden="false" customHeight="false" outlineLevel="0" collapsed="false">
      <c r="A14" s="0" t="s">
        <v>127</v>
      </c>
      <c r="B14" s="0" t="s">
        <v>128</v>
      </c>
      <c r="C14" s="0" t="s">
        <v>129</v>
      </c>
      <c r="D14" s="0" t="s">
        <v>64</v>
      </c>
      <c r="E14" s="0" t="s">
        <v>65</v>
      </c>
      <c r="F14" s="0" t="s">
        <v>130</v>
      </c>
      <c r="G14" s="0" t="s">
        <v>131</v>
      </c>
      <c r="H14" s="0" t="s">
        <v>57</v>
      </c>
      <c r="I14" s="0" t="s">
        <v>132</v>
      </c>
      <c r="J14" s="0" t="s">
        <v>69</v>
      </c>
      <c r="K14" s="0" t="n">
        <v>2</v>
      </c>
      <c r="L14" s="0" t="n">
        <v>3</v>
      </c>
      <c r="M14" s="0" t="n">
        <v>2</v>
      </c>
      <c r="N14" s="0" t="n">
        <v>1</v>
      </c>
      <c r="O14" s="0" t="n">
        <f aca="false">SUM(K14:N14)</f>
        <v>8</v>
      </c>
      <c r="P14" s="0" t="str">
        <f aca="false">IF(O14&gt;=15,"Yes","No")</f>
        <v>No</v>
      </c>
      <c r="Q14" s="0" t="s">
        <v>60</v>
      </c>
      <c r="R14" s="2" t="n">
        <v>2711000</v>
      </c>
      <c r="S14" s="3" t="n">
        <v>0.15</v>
      </c>
      <c r="T14" s="2" t="n">
        <f aca="false">R14*S14</f>
        <v>406650</v>
      </c>
      <c r="U14" s="4" t="s">
        <v>133</v>
      </c>
    </row>
    <row r="15" customFormat="false" ht="15" hidden="false" customHeight="false" outlineLevel="0" collapsed="false">
      <c r="A15" s="0" t="s">
        <v>134</v>
      </c>
      <c r="B15" s="0" t="s">
        <v>135</v>
      </c>
      <c r="C15" s="0" t="s">
        <v>74</v>
      </c>
      <c r="D15" s="0" t="s">
        <v>53</v>
      </c>
      <c r="E15" s="0" t="s">
        <v>136</v>
      </c>
      <c r="F15" s="0" t="s">
        <v>130</v>
      </c>
      <c r="G15" s="0" t="s">
        <v>137</v>
      </c>
      <c r="H15" s="0" t="s">
        <v>43</v>
      </c>
      <c r="I15" s="0" t="s">
        <v>138</v>
      </c>
      <c r="J15" s="0" t="s">
        <v>69</v>
      </c>
      <c r="K15" s="0" t="n">
        <v>3</v>
      </c>
      <c r="L15" s="0" t="n">
        <v>4</v>
      </c>
      <c r="M15" s="0" t="n">
        <v>3</v>
      </c>
      <c r="N15" s="0" t="n">
        <v>3</v>
      </c>
      <c r="O15" s="0" t="n">
        <f aca="false">SUM(K15:N15)</f>
        <v>13</v>
      </c>
      <c r="P15" s="0" t="str">
        <f aca="false">IF(O15&gt;=15,"Yes","No")</f>
        <v>No</v>
      </c>
      <c r="Q15" s="0" t="s">
        <v>60</v>
      </c>
      <c r="R15" s="2" t="n">
        <v>614000</v>
      </c>
      <c r="S15" s="3" t="n">
        <v>0.15</v>
      </c>
      <c r="T15" s="2" t="n">
        <f aca="false">R15*S15</f>
        <v>92100</v>
      </c>
      <c r="U15" s="4" t="s">
        <v>139</v>
      </c>
    </row>
    <row r="16" customFormat="false" ht="15" hidden="false" customHeight="false" outlineLevel="0" collapsed="false">
      <c r="A16" s="0" t="s">
        <v>140</v>
      </c>
      <c r="B16" s="0" t="s">
        <v>141</v>
      </c>
      <c r="C16" s="0" t="s">
        <v>39</v>
      </c>
      <c r="D16" s="0" t="s">
        <v>53</v>
      </c>
      <c r="E16" s="0" t="s">
        <v>142</v>
      </c>
      <c r="F16" s="0" t="s">
        <v>75</v>
      </c>
      <c r="G16" s="0" t="s">
        <v>143</v>
      </c>
      <c r="H16" s="0" t="s">
        <v>57</v>
      </c>
      <c r="I16" s="0" t="s">
        <v>144</v>
      </c>
      <c r="J16" s="0" t="s">
        <v>45</v>
      </c>
      <c r="K16" s="0" t="n">
        <v>2</v>
      </c>
      <c r="L16" s="0" t="n">
        <v>1</v>
      </c>
      <c r="M16" s="0" t="n">
        <v>4</v>
      </c>
      <c r="N16" s="0" t="n">
        <v>2</v>
      </c>
      <c r="O16" s="0" t="n">
        <f aca="false">SUM(K16:N16)</f>
        <v>9</v>
      </c>
      <c r="P16" s="0" t="str">
        <f aca="false">IF(O16&gt;=15,"Yes","No")</f>
        <v>No</v>
      </c>
      <c r="Q16" s="0" t="s">
        <v>46</v>
      </c>
      <c r="R16" s="2" t="n">
        <v>824000</v>
      </c>
      <c r="S16" s="3" t="n">
        <v>0</v>
      </c>
      <c r="T16" s="2" t="n">
        <f aca="false">R16*S16</f>
        <v>0</v>
      </c>
      <c r="U16" s="4" t="s">
        <v>145</v>
      </c>
      <c r="V16" s="4" t="s">
        <v>96</v>
      </c>
      <c r="W16" s="0" t="n">
        <v>29</v>
      </c>
      <c r="X16" s="4" t="s">
        <v>49</v>
      </c>
    </row>
    <row r="17" customFormat="false" ht="15" hidden="false" customHeight="false" outlineLevel="0" collapsed="false">
      <c r="A17" s="0" t="s">
        <v>146</v>
      </c>
      <c r="B17" s="0" t="s">
        <v>147</v>
      </c>
      <c r="C17" s="0" t="s">
        <v>39</v>
      </c>
      <c r="D17" s="0" t="s">
        <v>27</v>
      </c>
      <c r="E17" s="0" t="s">
        <v>40</v>
      </c>
      <c r="F17" s="0" t="s">
        <v>29</v>
      </c>
      <c r="G17" s="0" t="s">
        <v>148</v>
      </c>
      <c r="H17" s="0" t="s">
        <v>57</v>
      </c>
      <c r="I17" s="0" t="s">
        <v>149</v>
      </c>
      <c r="J17" s="0" t="s">
        <v>45</v>
      </c>
      <c r="K17" s="0" t="n">
        <v>1</v>
      </c>
      <c r="L17" s="0" t="n">
        <v>4</v>
      </c>
      <c r="M17" s="0" t="n">
        <v>2</v>
      </c>
      <c r="N17" s="0" t="n">
        <v>2</v>
      </c>
      <c r="O17" s="0" t="n">
        <f aca="false">SUM(K17:N17)</f>
        <v>9</v>
      </c>
      <c r="P17" s="0" t="str">
        <f aca="false">IF(O17&gt;=15,"Yes","No")</f>
        <v>No</v>
      </c>
      <c r="Q17" s="0" t="s">
        <v>60</v>
      </c>
      <c r="R17" s="2" t="n">
        <v>214000</v>
      </c>
      <c r="S17" s="3" t="n">
        <v>0.15</v>
      </c>
      <c r="T17" s="2" t="n">
        <f aca="false">R17*S17</f>
        <v>32100</v>
      </c>
      <c r="U17" s="4" t="s">
        <v>150</v>
      </c>
    </row>
    <row r="18" customFormat="false" ht="15" hidden="false" customHeight="false" outlineLevel="0" collapsed="false">
      <c r="A18" s="0" t="s">
        <v>151</v>
      </c>
      <c r="B18" s="0" t="s">
        <v>128</v>
      </c>
      <c r="C18" s="0" t="s">
        <v>152</v>
      </c>
      <c r="D18" s="0" t="s">
        <v>53</v>
      </c>
      <c r="E18" s="0" t="s">
        <v>142</v>
      </c>
      <c r="F18" s="0" t="s">
        <v>153</v>
      </c>
      <c r="G18" s="0" t="s">
        <v>154</v>
      </c>
      <c r="H18" s="0" t="s">
        <v>67</v>
      </c>
      <c r="I18" s="0" t="s">
        <v>155</v>
      </c>
      <c r="J18" s="0" t="s">
        <v>59</v>
      </c>
      <c r="K18" s="0" t="n">
        <v>3</v>
      </c>
      <c r="L18" s="0" t="n">
        <v>1</v>
      </c>
      <c r="M18" s="0" t="n">
        <v>4</v>
      </c>
      <c r="N18" s="0" t="n">
        <v>4</v>
      </c>
      <c r="O18" s="0" t="n">
        <f aca="false">SUM(K18:N18)</f>
        <v>12</v>
      </c>
      <c r="P18" s="0" t="str">
        <f aca="false">IF(O18&gt;=15,"Yes","No")</f>
        <v>No</v>
      </c>
      <c r="Q18" s="0" t="s">
        <v>60</v>
      </c>
      <c r="R18" s="2" t="n">
        <v>550000</v>
      </c>
      <c r="S18" s="3" t="n">
        <v>0.15</v>
      </c>
      <c r="T18" s="2" t="n">
        <f aca="false">R18*S18</f>
        <v>82500</v>
      </c>
      <c r="U18" s="4" t="s">
        <v>156</v>
      </c>
    </row>
    <row r="19" customFormat="false" ht="15" hidden="false" customHeight="false" outlineLevel="0" collapsed="false">
      <c r="A19" s="0" t="s">
        <v>157</v>
      </c>
      <c r="B19" s="0" t="s">
        <v>141</v>
      </c>
      <c r="C19" s="0" t="s">
        <v>39</v>
      </c>
      <c r="D19" s="0" t="s">
        <v>27</v>
      </c>
      <c r="E19" s="0" t="s">
        <v>119</v>
      </c>
      <c r="F19" s="0" t="s">
        <v>75</v>
      </c>
      <c r="G19" s="0" t="s">
        <v>158</v>
      </c>
      <c r="H19" s="0" t="s">
        <v>43</v>
      </c>
      <c r="I19" s="0" t="s">
        <v>150</v>
      </c>
      <c r="J19" s="0" t="s">
        <v>69</v>
      </c>
      <c r="K19" s="0" t="n">
        <v>3</v>
      </c>
      <c r="L19" s="0" t="n">
        <v>4</v>
      </c>
      <c r="M19" s="0" t="n">
        <v>5</v>
      </c>
      <c r="N19" s="0" t="n">
        <v>3</v>
      </c>
      <c r="O19" s="0" t="n">
        <f aca="false">SUM(K19:N19)</f>
        <v>15</v>
      </c>
      <c r="P19" s="0" t="str">
        <f aca="false">IF(O19&gt;=15,"Yes","No")</f>
        <v>Yes</v>
      </c>
      <c r="Q19" s="0" t="s">
        <v>159</v>
      </c>
      <c r="R19" s="2" t="n">
        <v>185000</v>
      </c>
      <c r="S19" s="3" t="n">
        <v>0.05</v>
      </c>
      <c r="T19" s="2" t="n">
        <f aca="false">R19*S19</f>
        <v>9250</v>
      </c>
      <c r="U19" s="4" t="s">
        <v>160</v>
      </c>
    </row>
    <row r="20" customFormat="false" ht="15" hidden="false" customHeight="false" outlineLevel="0" collapsed="false">
      <c r="A20" s="0" t="s">
        <v>161</v>
      </c>
      <c r="B20" s="0" t="s">
        <v>162</v>
      </c>
      <c r="C20" s="0" t="s">
        <v>26</v>
      </c>
      <c r="D20" s="0" t="s">
        <v>27</v>
      </c>
      <c r="E20" s="0" t="s">
        <v>28</v>
      </c>
      <c r="F20" s="0" t="s">
        <v>112</v>
      </c>
      <c r="G20" s="0" t="s">
        <v>163</v>
      </c>
      <c r="H20" s="0" t="s">
        <v>86</v>
      </c>
      <c r="I20" s="0" t="s">
        <v>164</v>
      </c>
      <c r="J20" s="0" t="s">
        <v>33</v>
      </c>
      <c r="K20" s="0" t="n">
        <v>3</v>
      </c>
      <c r="L20" s="0" t="n">
        <v>2</v>
      </c>
      <c r="M20" s="0" t="n">
        <v>2</v>
      </c>
      <c r="N20" s="0" t="n">
        <v>2</v>
      </c>
      <c r="O20" s="0" t="n">
        <f aca="false">SUM(K20:N20)</f>
        <v>9</v>
      </c>
      <c r="P20" s="0" t="str">
        <f aca="false">IF(O20&gt;=15,"Yes","No")</f>
        <v>No</v>
      </c>
      <c r="Q20" s="0" t="s">
        <v>60</v>
      </c>
      <c r="R20" s="2" t="n">
        <v>136000</v>
      </c>
      <c r="S20" s="3" t="n">
        <v>0.15</v>
      </c>
      <c r="T20" s="2" t="n">
        <f aca="false">R20*S20</f>
        <v>20400</v>
      </c>
      <c r="U20" s="4" t="s">
        <v>165</v>
      </c>
    </row>
    <row r="21" customFormat="false" ht="15" hidden="false" customHeight="false" outlineLevel="0" collapsed="false">
      <c r="A21" s="0" t="s">
        <v>166</v>
      </c>
      <c r="B21" s="0" t="s">
        <v>167</v>
      </c>
      <c r="C21" s="0" t="s">
        <v>39</v>
      </c>
      <c r="D21" s="0" t="s">
        <v>27</v>
      </c>
      <c r="E21" s="0" t="s">
        <v>142</v>
      </c>
      <c r="F21" s="0" t="s">
        <v>41</v>
      </c>
      <c r="G21" s="0" t="s">
        <v>168</v>
      </c>
      <c r="H21" s="0" t="s">
        <v>43</v>
      </c>
      <c r="I21" s="0" t="s">
        <v>169</v>
      </c>
      <c r="J21" s="0" t="s">
        <v>78</v>
      </c>
      <c r="K21" s="0" t="n">
        <v>3</v>
      </c>
      <c r="L21" s="0" t="n">
        <v>1</v>
      </c>
      <c r="M21" s="0" t="n">
        <v>4</v>
      </c>
      <c r="N21" s="0" t="n">
        <v>3</v>
      </c>
      <c r="O21" s="0" t="n">
        <f aca="false">SUM(K21:N21)</f>
        <v>11</v>
      </c>
      <c r="P21" s="0" t="str">
        <f aca="false">IF(O21&gt;=15,"Yes","No")</f>
        <v>No</v>
      </c>
      <c r="Q21" s="0" t="s">
        <v>115</v>
      </c>
      <c r="R21" s="2" t="n">
        <v>206000</v>
      </c>
      <c r="S21" s="3" t="n">
        <v>0.35</v>
      </c>
      <c r="T21" s="2" t="n">
        <f aca="false">R21*S21</f>
        <v>72100</v>
      </c>
      <c r="U21" s="4" t="s">
        <v>170</v>
      </c>
    </row>
    <row r="22" customFormat="false" ht="15" hidden="false" customHeight="false" outlineLevel="0" collapsed="false">
      <c r="A22" s="0" t="s">
        <v>171</v>
      </c>
      <c r="B22" s="0" t="s">
        <v>172</v>
      </c>
      <c r="C22" s="0" t="s">
        <v>52</v>
      </c>
      <c r="D22" s="0" t="s">
        <v>64</v>
      </c>
      <c r="E22" s="0" t="s">
        <v>84</v>
      </c>
      <c r="F22" s="0" t="s">
        <v>130</v>
      </c>
      <c r="G22" s="0" t="s">
        <v>173</v>
      </c>
      <c r="H22" s="0" t="s">
        <v>57</v>
      </c>
      <c r="I22" s="0" t="s">
        <v>174</v>
      </c>
      <c r="J22" s="0" t="s">
        <v>59</v>
      </c>
      <c r="K22" s="0" t="n">
        <v>2</v>
      </c>
      <c r="L22" s="0" t="n">
        <v>2</v>
      </c>
      <c r="M22" s="0" t="n">
        <v>1</v>
      </c>
      <c r="N22" s="0" t="n">
        <v>3</v>
      </c>
      <c r="O22" s="0" t="n">
        <f aca="false">SUM(K22:N22)</f>
        <v>8</v>
      </c>
      <c r="P22" s="0" t="str">
        <f aca="false">IF(O22&gt;=15,"Yes","No")</f>
        <v>No</v>
      </c>
      <c r="Q22" s="0" t="s">
        <v>159</v>
      </c>
      <c r="R22" s="2" t="n">
        <v>1970000</v>
      </c>
      <c r="S22" s="3" t="n">
        <v>0.05</v>
      </c>
      <c r="T22" s="2" t="n">
        <f aca="false">R22*S22</f>
        <v>98500</v>
      </c>
      <c r="U22" s="4" t="s">
        <v>175</v>
      </c>
    </row>
    <row r="23" customFormat="false" ht="15" hidden="false" customHeight="false" outlineLevel="0" collapsed="false">
      <c r="A23" s="0" t="s">
        <v>176</v>
      </c>
      <c r="B23" s="0" t="s">
        <v>177</v>
      </c>
      <c r="C23" s="0" t="s">
        <v>74</v>
      </c>
      <c r="D23" s="0" t="s">
        <v>27</v>
      </c>
      <c r="E23" s="0" t="s">
        <v>178</v>
      </c>
      <c r="F23" s="0" t="s">
        <v>179</v>
      </c>
      <c r="G23" s="0" t="s">
        <v>180</v>
      </c>
      <c r="H23" s="0" t="s">
        <v>86</v>
      </c>
      <c r="I23" s="0" t="s">
        <v>101</v>
      </c>
      <c r="J23" s="0" t="s">
        <v>78</v>
      </c>
      <c r="K23" s="0" t="n">
        <v>1</v>
      </c>
      <c r="L23" s="0" t="n">
        <v>2</v>
      </c>
      <c r="M23" s="0" t="n">
        <v>2</v>
      </c>
      <c r="N23" s="0" t="n">
        <v>2</v>
      </c>
      <c r="O23" s="0" t="n">
        <f aca="false">SUM(K23:N23)</f>
        <v>7</v>
      </c>
      <c r="P23" s="0" t="str">
        <f aca="false">IF(O23&gt;=15,"Yes","No")</f>
        <v>No</v>
      </c>
      <c r="Q23" s="0" t="s">
        <v>60</v>
      </c>
      <c r="R23" s="2" t="n">
        <v>139000</v>
      </c>
      <c r="S23" s="3" t="n">
        <v>0.15</v>
      </c>
      <c r="T23" s="2" t="n">
        <f aca="false">R23*S23</f>
        <v>20850</v>
      </c>
      <c r="U23" s="4" t="s">
        <v>181</v>
      </c>
    </row>
    <row r="24" customFormat="false" ht="15" hidden="false" customHeight="false" outlineLevel="0" collapsed="false">
      <c r="A24" s="0" t="s">
        <v>182</v>
      </c>
      <c r="B24" s="0" t="s">
        <v>183</v>
      </c>
      <c r="C24" s="0" t="s">
        <v>184</v>
      </c>
      <c r="D24" s="0" t="s">
        <v>27</v>
      </c>
      <c r="E24" s="0" t="s">
        <v>119</v>
      </c>
      <c r="F24" s="0" t="s">
        <v>153</v>
      </c>
      <c r="G24" s="0" t="s">
        <v>185</v>
      </c>
      <c r="H24" s="0" t="s">
        <v>31</v>
      </c>
      <c r="I24" s="0" t="s">
        <v>186</v>
      </c>
      <c r="J24" s="0" t="s">
        <v>69</v>
      </c>
      <c r="K24" s="0" t="n">
        <v>5</v>
      </c>
      <c r="L24" s="0" t="n">
        <v>4</v>
      </c>
      <c r="M24" s="0" t="n">
        <v>5</v>
      </c>
      <c r="N24" s="0" t="n">
        <v>3</v>
      </c>
      <c r="O24" s="0" t="n">
        <f aca="false">SUM(K24:N24)</f>
        <v>17</v>
      </c>
      <c r="P24" s="0" t="str">
        <f aca="false">IF(O24&gt;=15,"Yes","No")</f>
        <v>Yes</v>
      </c>
      <c r="Q24" s="0" t="s">
        <v>159</v>
      </c>
      <c r="R24" s="2" t="n">
        <v>234000</v>
      </c>
      <c r="S24" s="3" t="n">
        <v>0.05</v>
      </c>
      <c r="T24" s="2" t="n">
        <f aca="false">R24*S24</f>
        <v>11700</v>
      </c>
      <c r="U24" s="4" t="s">
        <v>187</v>
      </c>
    </row>
    <row r="25" customFormat="false" ht="15" hidden="false" customHeight="false" outlineLevel="0" collapsed="false">
      <c r="A25" s="0" t="s">
        <v>188</v>
      </c>
      <c r="B25" s="0" t="s">
        <v>189</v>
      </c>
      <c r="C25" s="0" t="s">
        <v>74</v>
      </c>
      <c r="D25" s="0" t="s">
        <v>27</v>
      </c>
      <c r="E25" s="0" t="s">
        <v>136</v>
      </c>
      <c r="F25" s="0" t="s">
        <v>179</v>
      </c>
      <c r="G25" s="0" t="s">
        <v>190</v>
      </c>
      <c r="H25" s="0" t="s">
        <v>67</v>
      </c>
      <c r="I25" s="0" t="s">
        <v>191</v>
      </c>
      <c r="J25" s="0" t="s">
        <v>59</v>
      </c>
      <c r="K25" s="0" t="n">
        <v>4</v>
      </c>
      <c r="L25" s="0" t="n">
        <v>2</v>
      </c>
      <c r="M25" s="0" t="n">
        <v>3</v>
      </c>
      <c r="N25" s="0" t="n">
        <v>4</v>
      </c>
      <c r="O25" s="0" t="n">
        <f aca="false">SUM(K25:N25)</f>
        <v>13</v>
      </c>
      <c r="P25" s="0" t="str">
        <f aca="false">IF(O25&gt;=15,"Yes","No")</f>
        <v>No</v>
      </c>
      <c r="Q25" s="0" t="s">
        <v>34</v>
      </c>
      <c r="R25" s="2" t="n">
        <v>154000</v>
      </c>
      <c r="S25" s="3" t="n">
        <v>1</v>
      </c>
      <c r="T25" s="2" t="n">
        <f aca="false">R25*S25</f>
        <v>154000</v>
      </c>
      <c r="U25" s="4" t="s">
        <v>192</v>
      </c>
      <c r="V25" s="4" t="s">
        <v>48</v>
      </c>
      <c r="W25" s="0" t="n">
        <v>33</v>
      </c>
    </row>
    <row r="26" customFormat="false" ht="15" hidden="false" customHeight="false" outlineLevel="0" collapsed="false">
      <c r="A26" s="0" t="s">
        <v>193</v>
      </c>
      <c r="B26" s="0" t="s">
        <v>194</v>
      </c>
      <c r="C26" s="0" t="s">
        <v>74</v>
      </c>
      <c r="D26" s="0" t="s">
        <v>53</v>
      </c>
      <c r="E26" s="0" t="s">
        <v>195</v>
      </c>
      <c r="F26" s="0" t="s">
        <v>75</v>
      </c>
      <c r="G26" s="0" t="s">
        <v>196</v>
      </c>
      <c r="H26" s="0" t="s">
        <v>43</v>
      </c>
      <c r="I26" s="0" t="s">
        <v>197</v>
      </c>
      <c r="J26" s="0" t="s">
        <v>45</v>
      </c>
      <c r="K26" s="0" t="n">
        <v>4</v>
      </c>
      <c r="L26" s="0" t="n">
        <v>4</v>
      </c>
      <c r="M26" s="0" t="n">
        <v>3</v>
      </c>
      <c r="N26" s="0" t="n">
        <v>5</v>
      </c>
      <c r="O26" s="0" t="n">
        <f aca="false">SUM(K26:N26)</f>
        <v>16</v>
      </c>
      <c r="P26" s="0" t="str">
        <f aca="false">IF(O26&gt;=15,"Yes","No")</f>
        <v>Yes</v>
      </c>
      <c r="Q26" s="0" t="s">
        <v>159</v>
      </c>
      <c r="R26" s="2" t="n">
        <v>544000</v>
      </c>
      <c r="S26" s="3" t="n">
        <v>0.05</v>
      </c>
      <c r="T26" s="2" t="n">
        <f aca="false">R26*S26</f>
        <v>27200</v>
      </c>
      <c r="U26" s="4" t="s">
        <v>198</v>
      </c>
    </row>
    <row r="27" customFormat="false" ht="15" hidden="false" customHeight="false" outlineLevel="0" collapsed="false">
      <c r="A27" s="0" t="s">
        <v>199</v>
      </c>
      <c r="B27" s="0" t="s">
        <v>200</v>
      </c>
      <c r="C27" s="0" t="s">
        <v>26</v>
      </c>
      <c r="D27" s="0" t="s">
        <v>27</v>
      </c>
      <c r="E27" s="0" t="s">
        <v>136</v>
      </c>
      <c r="F27" s="0" t="s">
        <v>179</v>
      </c>
      <c r="G27" s="0" t="s">
        <v>201</v>
      </c>
      <c r="H27" s="0" t="s">
        <v>57</v>
      </c>
      <c r="I27" s="0" t="s">
        <v>202</v>
      </c>
      <c r="J27" s="0" t="s">
        <v>45</v>
      </c>
      <c r="K27" s="0" t="n">
        <v>3</v>
      </c>
      <c r="L27" s="0" t="n">
        <v>1</v>
      </c>
      <c r="M27" s="0" t="n">
        <v>4</v>
      </c>
      <c r="N27" s="0" t="n">
        <v>2</v>
      </c>
      <c r="O27" s="0" t="n">
        <f aca="false">SUM(K27:N27)</f>
        <v>10</v>
      </c>
      <c r="P27" s="0" t="str">
        <f aca="false">IF(O27&gt;=15,"Yes","No")</f>
        <v>No</v>
      </c>
      <c r="Q27" s="0" t="s">
        <v>115</v>
      </c>
      <c r="R27" s="2" t="n">
        <v>236000</v>
      </c>
      <c r="S27" s="3" t="n">
        <v>0.35</v>
      </c>
      <c r="T27" s="2" t="n">
        <f aca="false">R27*S27</f>
        <v>82600</v>
      </c>
      <c r="U27" s="4" t="s">
        <v>71</v>
      </c>
    </row>
    <row r="28" customFormat="false" ht="15" hidden="false" customHeight="false" outlineLevel="0" collapsed="false">
      <c r="A28" s="0" t="s">
        <v>203</v>
      </c>
      <c r="B28" s="0" t="s">
        <v>204</v>
      </c>
      <c r="C28" s="0" t="s">
        <v>39</v>
      </c>
      <c r="D28" s="0" t="s">
        <v>27</v>
      </c>
      <c r="E28" s="0" t="s">
        <v>105</v>
      </c>
      <c r="F28" s="0" t="s">
        <v>29</v>
      </c>
      <c r="G28" s="0" t="s">
        <v>205</v>
      </c>
      <c r="H28" s="0" t="s">
        <v>86</v>
      </c>
      <c r="I28" s="0" t="s">
        <v>206</v>
      </c>
      <c r="J28" s="0" t="s">
        <v>59</v>
      </c>
      <c r="K28" s="0" t="n">
        <v>3</v>
      </c>
      <c r="L28" s="0" t="n">
        <v>2</v>
      </c>
      <c r="M28" s="0" t="n">
        <v>1</v>
      </c>
      <c r="N28" s="0" t="n">
        <v>1</v>
      </c>
      <c r="O28" s="0" t="n">
        <f aca="false">SUM(K28:N28)</f>
        <v>7</v>
      </c>
      <c r="P28" s="0" t="str">
        <f aca="false">IF(O28&gt;=15,"Yes","No")</f>
        <v>No</v>
      </c>
      <c r="Q28" s="0" t="s">
        <v>60</v>
      </c>
      <c r="R28" s="2" t="n">
        <v>242000</v>
      </c>
      <c r="S28" s="3" t="n">
        <v>0.15</v>
      </c>
      <c r="T28" s="2" t="n">
        <f aca="false">R28*S28</f>
        <v>36300</v>
      </c>
      <c r="U28" s="4" t="s">
        <v>207</v>
      </c>
    </row>
    <row r="29" customFormat="false" ht="15" hidden="false" customHeight="false" outlineLevel="0" collapsed="false">
      <c r="A29" s="0" t="s">
        <v>208</v>
      </c>
      <c r="B29" s="0" t="s">
        <v>209</v>
      </c>
      <c r="C29" s="0" t="s">
        <v>74</v>
      </c>
      <c r="D29" s="0" t="s">
        <v>27</v>
      </c>
      <c r="E29" s="0" t="s">
        <v>105</v>
      </c>
      <c r="F29" s="0" t="s">
        <v>29</v>
      </c>
      <c r="G29" s="0" t="s">
        <v>210</v>
      </c>
      <c r="H29" s="0" t="s">
        <v>67</v>
      </c>
      <c r="I29" s="0" t="s">
        <v>211</v>
      </c>
      <c r="J29" s="0" t="s">
        <v>45</v>
      </c>
      <c r="K29" s="0" t="n">
        <v>3</v>
      </c>
      <c r="L29" s="0" t="n">
        <v>2</v>
      </c>
      <c r="M29" s="0" t="n">
        <v>2</v>
      </c>
      <c r="N29" s="0" t="n">
        <v>3</v>
      </c>
      <c r="O29" s="0" t="n">
        <f aca="false">SUM(K29:N29)</f>
        <v>10</v>
      </c>
      <c r="P29" s="0" t="str">
        <f aca="false">IF(O29&gt;=15,"Yes","No")</f>
        <v>No</v>
      </c>
      <c r="Q29" s="0" t="s">
        <v>60</v>
      </c>
      <c r="R29" s="2" t="n">
        <v>196000</v>
      </c>
      <c r="S29" s="3" t="n">
        <v>0.15</v>
      </c>
      <c r="T29" s="2" t="n">
        <f aca="false">R29*S29</f>
        <v>29400</v>
      </c>
      <c r="U29" s="4" t="s">
        <v>212</v>
      </c>
    </row>
    <row r="30" customFormat="false" ht="15" hidden="false" customHeight="false" outlineLevel="0" collapsed="false">
      <c r="A30" s="0" t="s">
        <v>213</v>
      </c>
      <c r="B30" s="0" t="s">
        <v>214</v>
      </c>
      <c r="C30" s="0" t="s">
        <v>184</v>
      </c>
      <c r="D30" s="0" t="s">
        <v>53</v>
      </c>
      <c r="E30" s="0" t="s">
        <v>215</v>
      </c>
      <c r="F30" s="0" t="s">
        <v>112</v>
      </c>
      <c r="G30" s="0" t="s">
        <v>216</v>
      </c>
      <c r="H30" s="0" t="s">
        <v>43</v>
      </c>
      <c r="I30" s="0" t="s">
        <v>217</v>
      </c>
      <c r="J30" s="0" t="s">
        <v>33</v>
      </c>
      <c r="K30" s="0" t="n">
        <v>2</v>
      </c>
      <c r="L30" s="0" t="n">
        <v>4</v>
      </c>
      <c r="M30" s="0" t="n">
        <v>3</v>
      </c>
      <c r="N30" s="0" t="n">
        <v>5</v>
      </c>
      <c r="O30" s="0" t="n">
        <f aca="false">SUM(K30:N30)</f>
        <v>14</v>
      </c>
      <c r="P30" s="0" t="str">
        <f aca="false">IF(O30&gt;=15,"Yes","No")</f>
        <v>No</v>
      </c>
      <c r="Q30" s="0" t="s">
        <v>115</v>
      </c>
      <c r="R30" s="2" t="n">
        <v>569000</v>
      </c>
      <c r="S30" s="3" t="n">
        <v>0.35</v>
      </c>
      <c r="T30" s="2" t="n">
        <f aca="false">R30*S30</f>
        <v>199150</v>
      </c>
      <c r="U30" s="4" t="s">
        <v>218</v>
      </c>
    </row>
    <row r="31" customFormat="false" ht="15" hidden="false" customHeight="false" outlineLevel="0" collapsed="false">
      <c r="A31" s="0" t="s">
        <v>219</v>
      </c>
      <c r="B31" s="0" t="s">
        <v>220</v>
      </c>
      <c r="C31" s="0" t="s">
        <v>152</v>
      </c>
      <c r="D31" s="0" t="s">
        <v>53</v>
      </c>
      <c r="E31" s="0" t="s">
        <v>136</v>
      </c>
      <c r="F31" s="0" t="s">
        <v>179</v>
      </c>
      <c r="G31" s="0" t="s">
        <v>221</v>
      </c>
      <c r="H31" s="0" t="s">
        <v>67</v>
      </c>
      <c r="I31" s="0" t="s">
        <v>222</v>
      </c>
      <c r="J31" s="0" t="s">
        <v>45</v>
      </c>
      <c r="K31" s="0" t="n">
        <v>2</v>
      </c>
      <c r="L31" s="0" t="n">
        <v>1</v>
      </c>
      <c r="M31" s="0" t="n">
        <v>2</v>
      </c>
      <c r="N31" s="0" t="n">
        <v>2</v>
      </c>
      <c r="O31" s="0" t="n">
        <f aca="false">SUM(K31:N31)</f>
        <v>7</v>
      </c>
      <c r="P31" s="0" t="str">
        <f aca="false">IF(O31&gt;=15,"Yes","No")</f>
        <v>No</v>
      </c>
      <c r="Q31" s="0" t="s">
        <v>60</v>
      </c>
      <c r="R31" s="2" t="n">
        <v>678000</v>
      </c>
      <c r="S31" s="3" t="n">
        <v>0.15</v>
      </c>
      <c r="T31" s="2" t="n">
        <f aca="false">R31*S31</f>
        <v>101700</v>
      </c>
      <c r="U31" s="4" t="s">
        <v>223</v>
      </c>
    </row>
    <row r="32" customFormat="false" ht="15" hidden="false" customHeight="false" outlineLevel="0" collapsed="false">
      <c r="A32" s="0" t="s">
        <v>224</v>
      </c>
      <c r="B32" s="0" t="s">
        <v>225</v>
      </c>
      <c r="C32" s="0" t="s">
        <v>129</v>
      </c>
      <c r="D32" s="0" t="s">
        <v>27</v>
      </c>
      <c r="E32" s="0" t="s">
        <v>142</v>
      </c>
      <c r="F32" s="0" t="s">
        <v>75</v>
      </c>
      <c r="G32" s="0" t="s">
        <v>226</v>
      </c>
      <c r="H32" s="0" t="s">
        <v>67</v>
      </c>
      <c r="I32" s="0" t="s">
        <v>227</v>
      </c>
      <c r="J32" s="0" t="s">
        <v>33</v>
      </c>
      <c r="K32" s="0" t="n">
        <v>3</v>
      </c>
      <c r="L32" s="0" t="n">
        <v>1</v>
      </c>
      <c r="M32" s="0" t="n">
        <v>3</v>
      </c>
      <c r="N32" s="0" t="n">
        <v>4</v>
      </c>
      <c r="O32" s="0" t="n">
        <f aca="false">SUM(K32:N32)</f>
        <v>11</v>
      </c>
      <c r="P32" s="0" t="str">
        <f aca="false">IF(O32&gt;=15,"Yes","No")</f>
        <v>No</v>
      </c>
      <c r="Q32" s="0" t="s">
        <v>60</v>
      </c>
      <c r="R32" s="2" t="n">
        <v>211000</v>
      </c>
      <c r="S32" s="3" t="n">
        <v>0.15</v>
      </c>
      <c r="T32" s="2" t="n">
        <f aca="false">R32*S32</f>
        <v>31650</v>
      </c>
      <c r="U32" s="4" t="s">
        <v>228</v>
      </c>
    </row>
    <row r="33" customFormat="false" ht="15" hidden="false" customHeight="false" outlineLevel="0" collapsed="false">
      <c r="A33" s="0" t="s">
        <v>229</v>
      </c>
      <c r="B33" s="0" t="s">
        <v>230</v>
      </c>
      <c r="C33" s="0" t="s">
        <v>74</v>
      </c>
      <c r="D33" s="0" t="s">
        <v>27</v>
      </c>
      <c r="E33" s="0" t="s">
        <v>92</v>
      </c>
      <c r="F33" s="0" t="s">
        <v>179</v>
      </c>
      <c r="G33" s="0" t="s">
        <v>231</v>
      </c>
      <c r="H33" s="0" t="s">
        <v>67</v>
      </c>
      <c r="I33" s="0" t="s">
        <v>232</v>
      </c>
      <c r="J33" s="0" t="s">
        <v>59</v>
      </c>
      <c r="K33" s="0" t="n">
        <v>5</v>
      </c>
      <c r="L33" s="0" t="n">
        <v>4</v>
      </c>
      <c r="M33" s="0" t="n">
        <v>3</v>
      </c>
      <c r="N33" s="0" t="n">
        <v>4</v>
      </c>
      <c r="O33" s="0" t="n">
        <f aca="false">SUM(K33:N33)</f>
        <v>16</v>
      </c>
      <c r="P33" s="0" t="str">
        <f aca="false">IF(O33&gt;=15,"Yes","No")</f>
        <v>Yes</v>
      </c>
      <c r="Q33" s="0" t="s">
        <v>159</v>
      </c>
      <c r="R33" s="2" t="n">
        <v>169000</v>
      </c>
      <c r="S33" s="3" t="n">
        <v>0.05</v>
      </c>
      <c r="T33" s="2" t="n">
        <f aca="false">R33*S33</f>
        <v>8450</v>
      </c>
      <c r="U33" s="4" t="s">
        <v>233</v>
      </c>
    </row>
    <row r="34" customFormat="false" ht="15" hidden="false" customHeight="false" outlineLevel="0" collapsed="false">
      <c r="A34" s="0" t="s">
        <v>234</v>
      </c>
      <c r="B34" s="0" t="s">
        <v>235</v>
      </c>
      <c r="C34" s="0" t="s">
        <v>74</v>
      </c>
      <c r="D34" s="0" t="s">
        <v>27</v>
      </c>
      <c r="E34" s="0" t="s">
        <v>28</v>
      </c>
      <c r="F34" s="0" t="s">
        <v>130</v>
      </c>
      <c r="G34" s="0" t="s">
        <v>236</v>
      </c>
      <c r="H34" s="0" t="s">
        <v>67</v>
      </c>
      <c r="I34" s="0" t="s">
        <v>237</v>
      </c>
      <c r="J34" s="0" t="s">
        <v>69</v>
      </c>
      <c r="K34" s="0" t="n">
        <v>4</v>
      </c>
      <c r="L34" s="0" t="n">
        <v>4</v>
      </c>
      <c r="M34" s="0" t="n">
        <v>2</v>
      </c>
      <c r="N34" s="0" t="n">
        <v>3</v>
      </c>
      <c r="O34" s="0" t="n">
        <f aca="false">SUM(K34:N34)</f>
        <v>13</v>
      </c>
      <c r="P34" s="0" t="str">
        <f aca="false">IF(O34&gt;=15,"Yes","No")</f>
        <v>No</v>
      </c>
      <c r="Q34" s="0" t="s">
        <v>46</v>
      </c>
      <c r="R34" s="2" t="n">
        <v>249000</v>
      </c>
      <c r="S34" s="3" t="n">
        <v>0</v>
      </c>
      <c r="T34" s="2" t="n">
        <f aca="false">R34*S34</f>
        <v>0</v>
      </c>
      <c r="U34" s="4" t="s">
        <v>238</v>
      </c>
      <c r="V34" s="4" t="s">
        <v>239</v>
      </c>
      <c r="W34" s="0" t="n">
        <v>40</v>
      </c>
      <c r="X34" s="4" t="s">
        <v>49</v>
      </c>
    </row>
    <row r="35" customFormat="false" ht="15" hidden="false" customHeight="false" outlineLevel="0" collapsed="false">
      <c r="A35" s="0" t="s">
        <v>240</v>
      </c>
      <c r="B35" s="0" t="s">
        <v>241</v>
      </c>
      <c r="C35" s="0" t="s">
        <v>52</v>
      </c>
      <c r="D35" s="0" t="s">
        <v>53</v>
      </c>
      <c r="E35" s="0" t="s">
        <v>215</v>
      </c>
      <c r="F35" s="0" t="s">
        <v>75</v>
      </c>
      <c r="G35" s="0" t="s">
        <v>242</v>
      </c>
      <c r="H35" s="0" t="s">
        <v>57</v>
      </c>
      <c r="I35" s="0" t="s">
        <v>243</v>
      </c>
      <c r="J35" s="0" t="s">
        <v>69</v>
      </c>
      <c r="K35" s="0" t="n">
        <v>2</v>
      </c>
      <c r="L35" s="0" t="n">
        <v>3</v>
      </c>
      <c r="M35" s="0" t="n">
        <v>2</v>
      </c>
      <c r="N35" s="0" t="n">
        <v>2</v>
      </c>
      <c r="O35" s="0" t="n">
        <f aca="false">SUM(K35:N35)</f>
        <v>9</v>
      </c>
      <c r="P35" s="0" t="str">
        <f aca="false">IF(O35&gt;=15,"Yes","No")</f>
        <v>No</v>
      </c>
      <c r="Q35" s="0" t="s">
        <v>159</v>
      </c>
      <c r="R35" s="2" t="n">
        <v>905000</v>
      </c>
      <c r="S35" s="3" t="n">
        <v>0.05</v>
      </c>
      <c r="T35" s="2" t="n">
        <f aca="false">R35*S35</f>
        <v>45250</v>
      </c>
      <c r="U35" s="4" t="s">
        <v>244</v>
      </c>
    </row>
    <row r="36" customFormat="false" ht="15" hidden="false" customHeight="false" outlineLevel="0" collapsed="false">
      <c r="A36" s="0" t="s">
        <v>245</v>
      </c>
      <c r="B36" s="0" t="s">
        <v>246</v>
      </c>
      <c r="C36" s="0" t="s">
        <v>39</v>
      </c>
      <c r="D36" s="0" t="s">
        <v>53</v>
      </c>
      <c r="E36" s="0" t="s">
        <v>111</v>
      </c>
      <c r="F36" s="0" t="s">
        <v>112</v>
      </c>
      <c r="G36" s="0" t="s">
        <v>247</v>
      </c>
      <c r="H36" s="0" t="s">
        <v>248</v>
      </c>
      <c r="I36" s="0" t="s">
        <v>249</v>
      </c>
      <c r="J36" s="0" t="s">
        <v>69</v>
      </c>
      <c r="K36" s="0" t="n">
        <v>3</v>
      </c>
      <c r="L36" s="0" t="n">
        <v>4</v>
      </c>
      <c r="M36" s="0" t="n">
        <v>2</v>
      </c>
      <c r="N36" s="0" t="n">
        <v>3</v>
      </c>
      <c r="O36" s="0" t="n">
        <f aca="false">SUM(K36:N36)</f>
        <v>12</v>
      </c>
      <c r="P36" s="0" t="str">
        <f aca="false">IF(O36&gt;=15,"Yes","No")</f>
        <v>No</v>
      </c>
      <c r="Q36" s="0" t="s">
        <v>159</v>
      </c>
      <c r="R36" s="2" t="n">
        <v>617000</v>
      </c>
      <c r="S36" s="3" t="n">
        <v>0.05</v>
      </c>
      <c r="T36" s="2" t="n">
        <f aca="false">R36*S36</f>
        <v>30850</v>
      </c>
      <c r="U36" s="4" t="s">
        <v>250</v>
      </c>
    </row>
    <row r="37" customFormat="false" ht="15" hidden="false" customHeight="false" outlineLevel="0" collapsed="false">
      <c r="A37" s="0" t="s">
        <v>251</v>
      </c>
      <c r="B37" s="0" t="s">
        <v>252</v>
      </c>
      <c r="C37" s="0" t="s">
        <v>74</v>
      </c>
      <c r="D37" s="0" t="s">
        <v>27</v>
      </c>
      <c r="E37" s="0" t="s">
        <v>136</v>
      </c>
      <c r="F37" s="0" t="s">
        <v>130</v>
      </c>
      <c r="G37" s="0" t="s">
        <v>253</v>
      </c>
      <c r="H37" s="0" t="s">
        <v>43</v>
      </c>
      <c r="I37" s="0" t="s">
        <v>254</v>
      </c>
      <c r="J37" s="0" t="s">
        <v>78</v>
      </c>
      <c r="K37" s="0" t="n">
        <v>5</v>
      </c>
      <c r="L37" s="0" t="n">
        <v>2</v>
      </c>
      <c r="M37" s="0" t="n">
        <v>1</v>
      </c>
      <c r="N37" s="0" t="n">
        <v>2</v>
      </c>
      <c r="O37" s="0" t="n">
        <f aca="false">SUM(K37:N37)</f>
        <v>10</v>
      </c>
      <c r="P37" s="0" t="str">
        <f aca="false">IF(O37&gt;=15,"Yes","No")</f>
        <v>No</v>
      </c>
      <c r="Q37" s="0" t="s">
        <v>46</v>
      </c>
      <c r="R37" s="2" t="n">
        <v>147000</v>
      </c>
      <c r="S37" s="3" t="n">
        <v>0</v>
      </c>
      <c r="T37" s="2" t="n">
        <f aca="false">R37*S37</f>
        <v>0</v>
      </c>
      <c r="U37" s="4" t="s">
        <v>255</v>
      </c>
      <c r="V37" s="4" t="s">
        <v>256</v>
      </c>
      <c r="W37" s="0" t="n">
        <v>27</v>
      </c>
      <c r="X37" s="4" t="s">
        <v>257</v>
      </c>
    </row>
    <row r="38" customFormat="false" ht="15" hidden="false" customHeight="false" outlineLevel="0" collapsed="false">
      <c r="A38" s="0" t="s">
        <v>258</v>
      </c>
      <c r="B38" s="0" t="s">
        <v>259</v>
      </c>
      <c r="C38" s="0" t="s">
        <v>74</v>
      </c>
      <c r="D38" s="0" t="s">
        <v>27</v>
      </c>
      <c r="E38" s="0" t="s">
        <v>178</v>
      </c>
      <c r="F38" s="0" t="s">
        <v>55</v>
      </c>
      <c r="G38" s="0" t="s">
        <v>260</v>
      </c>
      <c r="H38" s="0" t="s">
        <v>67</v>
      </c>
      <c r="I38" s="0" t="s">
        <v>149</v>
      </c>
      <c r="J38" s="0" t="s">
        <v>45</v>
      </c>
      <c r="K38" s="0" t="n">
        <v>4</v>
      </c>
      <c r="L38" s="0" t="n">
        <v>4</v>
      </c>
      <c r="M38" s="0" t="n">
        <v>2</v>
      </c>
      <c r="N38" s="0" t="n">
        <v>4</v>
      </c>
      <c r="O38" s="0" t="n">
        <f aca="false">SUM(K38:N38)</f>
        <v>14</v>
      </c>
      <c r="P38" s="0" t="str">
        <f aca="false">IF(O38&gt;=15,"Yes","No")</f>
        <v>No</v>
      </c>
      <c r="Q38" s="0" t="s">
        <v>70</v>
      </c>
      <c r="R38" s="2" t="n">
        <v>227000</v>
      </c>
      <c r="S38" s="3" t="n">
        <v>0.55</v>
      </c>
      <c r="T38" s="2" t="n">
        <f aca="false">R38*S38</f>
        <v>124850</v>
      </c>
      <c r="U38" s="4" t="s">
        <v>261</v>
      </c>
    </row>
    <row r="39" customFormat="false" ht="15" hidden="false" customHeight="false" outlineLevel="0" collapsed="false">
      <c r="A39" s="0" t="s">
        <v>262</v>
      </c>
      <c r="B39" s="0" t="s">
        <v>263</v>
      </c>
      <c r="C39" s="0" t="s">
        <v>264</v>
      </c>
      <c r="D39" s="0" t="s">
        <v>53</v>
      </c>
      <c r="E39" s="0" t="s">
        <v>54</v>
      </c>
      <c r="F39" s="0" t="s">
        <v>179</v>
      </c>
      <c r="G39" s="0" t="s">
        <v>265</v>
      </c>
      <c r="H39" s="0" t="s">
        <v>57</v>
      </c>
      <c r="I39" s="0" t="s">
        <v>266</v>
      </c>
      <c r="J39" s="0" t="s">
        <v>45</v>
      </c>
      <c r="K39" s="0" t="n">
        <v>2</v>
      </c>
      <c r="L39" s="0" t="n">
        <v>2</v>
      </c>
      <c r="M39" s="0" t="n">
        <v>1</v>
      </c>
      <c r="N39" s="0" t="n">
        <v>3</v>
      </c>
      <c r="O39" s="0" t="n">
        <f aca="false">SUM(K39:N39)</f>
        <v>8</v>
      </c>
      <c r="P39" s="0" t="str">
        <f aca="false">IF(O39&gt;=15,"Yes","No")</f>
        <v>No</v>
      </c>
      <c r="Q39" s="0" t="s">
        <v>60</v>
      </c>
      <c r="R39" s="2" t="n">
        <v>704000</v>
      </c>
      <c r="S39" s="3" t="n">
        <v>0.15</v>
      </c>
      <c r="T39" s="2" t="n">
        <f aca="false">R39*S39</f>
        <v>105600</v>
      </c>
      <c r="U39" s="4" t="s">
        <v>267</v>
      </c>
    </row>
    <row r="40" customFormat="false" ht="15" hidden="false" customHeight="false" outlineLevel="0" collapsed="false">
      <c r="A40" s="0" t="s">
        <v>268</v>
      </c>
      <c r="B40" s="0" t="s">
        <v>269</v>
      </c>
      <c r="C40" s="0" t="s">
        <v>26</v>
      </c>
      <c r="D40" s="0" t="s">
        <v>53</v>
      </c>
      <c r="E40" s="0" t="s">
        <v>136</v>
      </c>
      <c r="F40" s="0" t="s">
        <v>41</v>
      </c>
      <c r="G40" s="0" t="s">
        <v>270</v>
      </c>
      <c r="H40" s="0" t="s">
        <v>86</v>
      </c>
      <c r="I40" s="0" t="s">
        <v>271</v>
      </c>
      <c r="J40" s="0" t="s">
        <v>33</v>
      </c>
      <c r="K40" s="0" t="n">
        <v>1</v>
      </c>
      <c r="L40" s="0" t="n">
        <v>2</v>
      </c>
      <c r="M40" s="0" t="n">
        <v>1</v>
      </c>
      <c r="N40" s="0" t="n">
        <v>3</v>
      </c>
      <c r="O40" s="0" t="n">
        <f aca="false">SUM(K40:N40)</f>
        <v>7</v>
      </c>
      <c r="P40" s="0" t="str">
        <f aca="false">IF(O40&gt;=15,"Yes","No")</f>
        <v>No</v>
      </c>
      <c r="Q40" s="0" t="s">
        <v>60</v>
      </c>
      <c r="R40" s="2" t="n">
        <v>865000</v>
      </c>
      <c r="S40" s="3" t="n">
        <v>0.15</v>
      </c>
      <c r="T40" s="2" t="n">
        <f aca="false">R40*S40</f>
        <v>129750</v>
      </c>
      <c r="U40" s="4" t="s">
        <v>272</v>
      </c>
    </row>
    <row r="41" customFormat="false" ht="15" hidden="false" customHeight="false" outlineLevel="0" collapsed="false">
      <c r="A41" s="0" t="s">
        <v>273</v>
      </c>
      <c r="B41" s="0" t="s">
        <v>274</v>
      </c>
      <c r="C41" s="0" t="s">
        <v>52</v>
      </c>
      <c r="D41" s="0" t="s">
        <v>64</v>
      </c>
      <c r="E41" s="0" t="s">
        <v>105</v>
      </c>
      <c r="F41" s="0" t="s">
        <v>130</v>
      </c>
      <c r="G41" s="0" t="s">
        <v>210</v>
      </c>
      <c r="H41" s="0" t="s">
        <v>86</v>
      </c>
      <c r="I41" s="0" t="s">
        <v>139</v>
      </c>
      <c r="J41" s="0" t="s">
        <v>78</v>
      </c>
      <c r="K41" s="0" t="n">
        <v>1</v>
      </c>
      <c r="L41" s="0" t="n">
        <v>3</v>
      </c>
      <c r="M41" s="0" t="n">
        <v>2</v>
      </c>
      <c r="N41" s="0" t="n">
        <v>3</v>
      </c>
      <c r="O41" s="0" t="n">
        <f aca="false">SUM(K41:N41)</f>
        <v>9</v>
      </c>
      <c r="P41" s="0" t="str">
        <f aca="false">IF(O41&gt;=15,"Yes","No")</f>
        <v>No</v>
      </c>
      <c r="Q41" s="0" t="s">
        <v>60</v>
      </c>
      <c r="R41" s="2" t="n">
        <v>2304000</v>
      </c>
      <c r="S41" s="3" t="n">
        <v>0.15</v>
      </c>
      <c r="T41" s="2" t="n">
        <f aca="false">R41*S41</f>
        <v>345600</v>
      </c>
      <c r="U41" s="4" t="s">
        <v>275</v>
      </c>
    </row>
    <row r="42" customFormat="false" ht="15" hidden="false" customHeight="false" outlineLevel="0" collapsed="false">
      <c r="A42" s="0" t="s">
        <v>276</v>
      </c>
      <c r="B42" s="0" t="s">
        <v>277</v>
      </c>
      <c r="C42" s="0" t="s">
        <v>39</v>
      </c>
      <c r="D42" s="0" t="s">
        <v>64</v>
      </c>
      <c r="E42" s="0" t="s">
        <v>84</v>
      </c>
      <c r="F42" s="0" t="s">
        <v>55</v>
      </c>
      <c r="G42" s="0" t="s">
        <v>278</v>
      </c>
      <c r="H42" s="0" t="s">
        <v>67</v>
      </c>
      <c r="I42" s="0" t="s">
        <v>279</v>
      </c>
      <c r="J42" s="0" t="s">
        <v>78</v>
      </c>
      <c r="K42" s="0" t="n">
        <v>1</v>
      </c>
      <c r="L42" s="0" t="n">
        <v>4</v>
      </c>
      <c r="M42" s="0" t="n">
        <v>4</v>
      </c>
      <c r="N42" s="0" t="n">
        <v>3</v>
      </c>
      <c r="O42" s="0" t="n">
        <f aca="false">SUM(K42:N42)</f>
        <v>12</v>
      </c>
      <c r="P42" s="0" t="str">
        <f aca="false">IF(O42&gt;=15,"Yes","No")</f>
        <v>No</v>
      </c>
      <c r="Q42" s="0" t="s">
        <v>60</v>
      </c>
      <c r="R42" s="2" t="n">
        <v>2506000</v>
      </c>
      <c r="S42" s="3" t="n">
        <v>0.15</v>
      </c>
      <c r="T42" s="2" t="n">
        <f aca="false">R42*S42</f>
        <v>375900</v>
      </c>
      <c r="U42" s="4" t="s">
        <v>280</v>
      </c>
    </row>
    <row r="43" customFormat="false" ht="15" hidden="false" customHeight="false" outlineLevel="0" collapsed="false">
      <c r="A43" s="0" t="s">
        <v>281</v>
      </c>
      <c r="B43" s="0" t="s">
        <v>282</v>
      </c>
      <c r="C43" s="0" t="s">
        <v>26</v>
      </c>
      <c r="D43" s="0" t="s">
        <v>53</v>
      </c>
      <c r="E43" s="0" t="s">
        <v>215</v>
      </c>
      <c r="F43" s="0" t="s">
        <v>179</v>
      </c>
      <c r="G43" s="0" t="s">
        <v>283</v>
      </c>
      <c r="H43" s="0" t="s">
        <v>67</v>
      </c>
      <c r="I43" s="0" t="s">
        <v>284</v>
      </c>
      <c r="J43" s="0" t="s">
        <v>59</v>
      </c>
      <c r="K43" s="0" t="n">
        <v>2</v>
      </c>
      <c r="L43" s="0" t="n">
        <v>5</v>
      </c>
      <c r="M43" s="0" t="n">
        <v>4</v>
      </c>
      <c r="N43" s="0" t="n">
        <v>3</v>
      </c>
      <c r="O43" s="0" t="n">
        <f aca="false">SUM(K43:N43)</f>
        <v>14</v>
      </c>
      <c r="P43" s="0" t="str">
        <f aca="false">IF(O43&gt;=15,"Yes","No")</f>
        <v>No</v>
      </c>
      <c r="Q43" s="0" t="s">
        <v>159</v>
      </c>
      <c r="R43" s="2" t="n">
        <v>626000</v>
      </c>
      <c r="S43" s="3" t="n">
        <v>0.05</v>
      </c>
      <c r="T43" s="2" t="n">
        <f aca="false">R43*S43</f>
        <v>31300</v>
      </c>
      <c r="U43" s="4" t="s">
        <v>133</v>
      </c>
    </row>
    <row r="44" customFormat="false" ht="15" hidden="false" customHeight="false" outlineLevel="0" collapsed="false">
      <c r="A44" s="0" t="s">
        <v>285</v>
      </c>
      <c r="B44" s="0" t="s">
        <v>286</v>
      </c>
      <c r="C44" s="0" t="s">
        <v>129</v>
      </c>
      <c r="D44" s="0" t="s">
        <v>27</v>
      </c>
      <c r="E44" s="0" t="s">
        <v>99</v>
      </c>
      <c r="F44" s="0" t="s">
        <v>112</v>
      </c>
      <c r="G44" s="0" t="s">
        <v>287</v>
      </c>
      <c r="H44" s="0" t="s">
        <v>43</v>
      </c>
      <c r="I44" s="0" t="s">
        <v>288</v>
      </c>
      <c r="J44" s="0" t="s">
        <v>78</v>
      </c>
      <c r="K44" s="0" t="n">
        <v>4</v>
      </c>
      <c r="L44" s="0" t="n">
        <v>5</v>
      </c>
      <c r="M44" s="0" t="n">
        <v>4</v>
      </c>
      <c r="N44" s="0" t="n">
        <v>4</v>
      </c>
      <c r="O44" s="0" t="n">
        <f aca="false">SUM(K44:N44)</f>
        <v>17</v>
      </c>
      <c r="P44" s="0" t="str">
        <f aca="false">IF(O44&gt;=15,"Yes","No")</f>
        <v>Yes</v>
      </c>
      <c r="Q44" s="0" t="s">
        <v>34</v>
      </c>
      <c r="R44" s="2" t="n">
        <v>164000</v>
      </c>
      <c r="S44" s="3" t="n">
        <v>1</v>
      </c>
      <c r="T44" s="2" t="n">
        <f aca="false">R44*S44</f>
        <v>164000</v>
      </c>
      <c r="U44" s="4" t="s">
        <v>289</v>
      </c>
      <c r="V44" s="4" t="s">
        <v>280</v>
      </c>
      <c r="W44" s="0" t="n">
        <v>37</v>
      </c>
    </row>
    <row r="45" customFormat="false" ht="15" hidden="false" customHeight="false" outlineLevel="0" collapsed="false">
      <c r="A45" s="0" t="s">
        <v>290</v>
      </c>
      <c r="B45" s="0" t="s">
        <v>291</v>
      </c>
      <c r="C45" s="0" t="s">
        <v>26</v>
      </c>
      <c r="D45" s="0" t="s">
        <v>27</v>
      </c>
      <c r="E45" s="0" t="s">
        <v>136</v>
      </c>
      <c r="F45" s="0" t="s">
        <v>29</v>
      </c>
      <c r="G45" s="0" t="s">
        <v>292</v>
      </c>
      <c r="H45" s="0" t="s">
        <v>57</v>
      </c>
      <c r="I45" s="0" t="s">
        <v>293</v>
      </c>
      <c r="J45" s="0" t="s">
        <v>69</v>
      </c>
      <c r="K45" s="0" t="n">
        <v>2</v>
      </c>
      <c r="L45" s="0" t="n">
        <v>3</v>
      </c>
      <c r="M45" s="0" t="n">
        <v>2</v>
      </c>
      <c r="N45" s="0" t="n">
        <v>1</v>
      </c>
      <c r="O45" s="0" t="n">
        <f aca="false">SUM(K45:N45)</f>
        <v>8</v>
      </c>
      <c r="P45" s="0" t="str">
        <f aca="false">IF(O45&gt;=15,"Yes","No")</f>
        <v>No</v>
      </c>
      <c r="Q45" s="0" t="s">
        <v>159</v>
      </c>
      <c r="R45" s="2" t="n">
        <v>240000</v>
      </c>
      <c r="S45" s="3" t="n">
        <v>0.05</v>
      </c>
      <c r="T45" s="2" t="n">
        <f aca="false">R45*S45</f>
        <v>12000</v>
      </c>
      <c r="U45" s="4" t="s">
        <v>58</v>
      </c>
    </row>
    <row r="46" customFormat="false" ht="15" hidden="false" customHeight="false" outlineLevel="0" collapsed="false">
      <c r="A46" s="0" t="s">
        <v>294</v>
      </c>
      <c r="B46" s="0" t="s">
        <v>269</v>
      </c>
      <c r="C46" s="0" t="s">
        <v>264</v>
      </c>
      <c r="D46" s="0" t="s">
        <v>53</v>
      </c>
      <c r="E46" s="0" t="s">
        <v>195</v>
      </c>
      <c r="F46" s="0" t="s">
        <v>130</v>
      </c>
      <c r="G46" s="0" t="s">
        <v>295</v>
      </c>
      <c r="H46" s="0" t="s">
        <v>86</v>
      </c>
      <c r="I46" s="0" t="s">
        <v>296</v>
      </c>
      <c r="J46" s="0" t="s">
        <v>59</v>
      </c>
      <c r="K46" s="0" t="n">
        <v>2</v>
      </c>
      <c r="L46" s="0" t="n">
        <v>1</v>
      </c>
      <c r="M46" s="0" t="n">
        <v>1</v>
      </c>
      <c r="N46" s="0" t="n">
        <v>2</v>
      </c>
      <c r="O46" s="0" t="n">
        <f aca="false">SUM(K46:N46)</f>
        <v>6</v>
      </c>
      <c r="P46" s="0" t="str">
        <f aca="false">IF(O46&gt;=15,"Yes","No")</f>
        <v>No</v>
      </c>
      <c r="Q46" s="0" t="s">
        <v>46</v>
      </c>
      <c r="R46" s="2" t="n">
        <v>881000</v>
      </c>
      <c r="S46" s="3" t="n">
        <v>0</v>
      </c>
      <c r="T46" s="2" t="n">
        <f aca="false">R46*S46</f>
        <v>0</v>
      </c>
      <c r="U46" s="4" t="s">
        <v>297</v>
      </c>
      <c r="V46" s="4" t="s">
        <v>298</v>
      </c>
      <c r="W46" s="0" t="n">
        <v>43</v>
      </c>
      <c r="X46" s="4" t="s">
        <v>257</v>
      </c>
    </row>
    <row r="47" customFormat="false" ht="15" hidden="false" customHeight="false" outlineLevel="0" collapsed="false">
      <c r="A47" s="0" t="s">
        <v>299</v>
      </c>
      <c r="B47" s="0" t="s">
        <v>300</v>
      </c>
      <c r="C47" s="0" t="s">
        <v>39</v>
      </c>
      <c r="D47" s="0" t="s">
        <v>27</v>
      </c>
      <c r="E47" s="0" t="s">
        <v>178</v>
      </c>
      <c r="F47" s="0" t="s">
        <v>112</v>
      </c>
      <c r="G47" s="0" t="s">
        <v>301</v>
      </c>
      <c r="H47" s="0" t="s">
        <v>57</v>
      </c>
      <c r="I47" s="0" t="s">
        <v>302</v>
      </c>
      <c r="J47" s="0" t="s">
        <v>69</v>
      </c>
      <c r="K47" s="0" t="n">
        <v>4</v>
      </c>
      <c r="L47" s="0" t="n">
        <v>1</v>
      </c>
      <c r="M47" s="0" t="n">
        <v>1</v>
      </c>
      <c r="N47" s="0" t="n">
        <v>2</v>
      </c>
      <c r="O47" s="0" t="n">
        <f aca="false">SUM(K47:N47)</f>
        <v>8</v>
      </c>
      <c r="P47" s="0" t="str">
        <f aca="false">IF(O47&gt;=15,"Yes","No")</f>
        <v>No</v>
      </c>
      <c r="Q47" s="0" t="s">
        <v>60</v>
      </c>
      <c r="R47" s="2" t="n">
        <v>147000</v>
      </c>
      <c r="S47" s="3" t="n">
        <v>0.15</v>
      </c>
      <c r="T47" s="2" t="n">
        <f aca="false">R47*S47</f>
        <v>22050</v>
      </c>
      <c r="U47" s="4" t="s">
        <v>303</v>
      </c>
    </row>
    <row r="48" customFormat="false" ht="15" hidden="false" customHeight="false" outlineLevel="0" collapsed="false">
      <c r="A48" s="0" t="s">
        <v>304</v>
      </c>
      <c r="B48" s="0" t="s">
        <v>305</v>
      </c>
      <c r="C48" s="0" t="s">
        <v>26</v>
      </c>
      <c r="D48" s="0" t="s">
        <v>27</v>
      </c>
      <c r="E48" s="0" t="s">
        <v>99</v>
      </c>
      <c r="F48" s="0" t="s">
        <v>29</v>
      </c>
      <c r="G48" s="0" t="s">
        <v>306</v>
      </c>
      <c r="H48" s="0" t="s">
        <v>43</v>
      </c>
      <c r="I48" s="0" t="s">
        <v>307</v>
      </c>
      <c r="J48" s="0" t="s">
        <v>45</v>
      </c>
      <c r="K48" s="0" t="n">
        <v>4</v>
      </c>
      <c r="L48" s="0" t="n">
        <v>4</v>
      </c>
      <c r="M48" s="0" t="n">
        <v>3</v>
      </c>
      <c r="N48" s="0" t="n">
        <v>4</v>
      </c>
      <c r="O48" s="0" t="n">
        <f aca="false">SUM(K48:N48)</f>
        <v>15</v>
      </c>
      <c r="P48" s="0" t="str">
        <f aca="false">IF(O48&gt;=15,"Yes","No")</f>
        <v>Yes</v>
      </c>
      <c r="Q48" s="0" t="s">
        <v>46</v>
      </c>
      <c r="R48" s="2" t="n">
        <v>160000</v>
      </c>
      <c r="S48" s="3" t="n">
        <v>0</v>
      </c>
      <c r="T48" s="2" t="n">
        <f aca="false">R48*S48</f>
        <v>0</v>
      </c>
      <c r="U48" s="4" t="s">
        <v>308</v>
      </c>
      <c r="V48" s="4" t="s">
        <v>309</v>
      </c>
      <c r="W48" s="0" t="n">
        <v>16</v>
      </c>
      <c r="X48" s="4" t="s">
        <v>310</v>
      </c>
    </row>
    <row r="49" customFormat="false" ht="15" hidden="false" customHeight="false" outlineLevel="0" collapsed="false">
      <c r="A49" s="0" t="s">
        <v>311</v>
      </c>
      <c r="B49" s="0" t="s">
        <v>312</v>
      </c>
      <c r="C49" s="0" t="s">
        <v>26</v>
      </c>
      <c r="D49" s="0" t="s">
        <v>64</v>
      </c>
      <c r="E49" s="0" t="s">
        <v>54</v>
      </c>
      <c r="F49" s="0" t="s">
        <v>29</v>
      </c>
      <c r="G49" s="0" t="s">
        <v>313</v>
      </c>
      <c r="H49" s="0" t="s">
        <v>67</v>
      </c>
      <c r="I49" s="0" t="s">
        <v>165</v>
      </c>
      <c r="J49" s="0" t="s">
        <v>33</v>
      </c>
      <c r="K49" s="0" t="n">
        <v>3</v>
      </c>
      <c r="L49" s="0" t="n">
        <v>3</v>
      </c>
      <c r="M49" s="0" t="n">
        <v>4</v>
      </c>
      <c r="N49" s="0" t="n">
        <v>1</v>
      </c>
      <c r="O49" s="0" t="n">
        <f aca="false">SUM(K49:N49)</f>
        <v>11</v>
      </c>
      <c r="P49" s="0" t="str">
        <f aca="false">IF(O49&gt;=15,"Yes","No")</f>
        <v>No</v>
      </c>
      <c r="Q49" s="0" t="s">
        <v>46</v>
      </c>
      <c r="R49" s="2" t="n">
        <v>2925000</v>
      </c>
      <c r="S49" s="3" t="n">
        <v>0</v>
      </c>
      <c r="T49" s="2" t="n">
        <f aca="false">R49*S49</f>
        <v>0</v>
      </c>
      <c r="U49" s="4" t="s">
        <v>314</v>
      </c>
      <c r="V49" s="4" t="s">
        <v>315</v>
      </c>
      <c r="W49" s="0" t="n">
        <v>26</v>
      </c>
      <c r="X49" s="4" t="s">
        <v>49</v>
      </c>
    </row>
    <row r="50" customFormat="false" ht="15" hidden="false" customHeight="false" outlineLevel="0" collapsed="false">
      <c r="A50" s="0" t="s">
        <v>316</v>
      </c>
      <c r="B50" s="0" t="s">
        <v>263</v>
      </c>
      <c r="C50" s="0" t="s">
        <v>129</v>
      </c>
      <c r="D50" s="0" t="s">
        <v>64</v>
      </c>
      <c r="E50" s="0" t="s">
        <v>178</v>
      </c>
      <c r="F50" s="0" t="s">
        <v>75</v>
      </c>
      <c r="G50" s="0" t="s">
        <v>317</v>
      </c>
      <c r="H50" s="0" t="s">
        <v>86</v>
      </c>
      <c r="I50" s="0" t="s">
        <v>318</v>
      </c>
      <c r="J50" s="0" t="s">
        <v>69</v>
      </c>
      <c r="K50" s="0" t="n">
        <v>2</v>
      </c>
      <c r="L50" s="0" t="n">
        <v>3</v>
      </c>
      <c r="M50" s="0" t="n">
        <v>3</v>
      </c>
      <c r="N50" s="0" t="n">
        <v>1</v>
      </c>
      <c r="O50" s="0" t="n">
        <f aca="false">SUM(K50:N50)</f>
        <v>9</v>
      </c>
      <c r="P50" s="0" t="str">
        <f aca="false">IF(O50&gt;=15,"Yes","No")</f>
        <v>No</v>
      </c>
      <c r="Q50" s="0" t="s">
        <v>159</v>
      </c>
      <c r="R50" s="2" t="n">
        <v>2893000</v>
      </c>
      <c r="S50" s="3" t="n">
        <v>0.05</v>
      </c>
      <c r="T50" s="2" t="n">
        <f aca="false">R50*S50</f>
        <v>144650</v>
      </c>
      <c r="U50" s="4" t="s">
        <v>319</v>
      </c>
    </row>
    <row r="51" customFormat="false" ht="15" hidden="false" customHeight="false" outlineLevel="0" collapsed="false">
      <c r="A51" s="0" t="s">
        <v>320</v>
      </c>
      <c r="B51" s="0" t="s">
        <v>321</v>
      </c>
      <c r="C51" s="0" t="s">
        <v>264</v>
      </c>
      <c r="D51" s="0" t="s">
        <v>53</v>
      </c>
      <c r="E51" s="0" t="s">
        <v>322</v>
      </c>
      <c r="F51" s="0" t="s">
        <v>130</v>
      </c>
      <c r="G51" s="0" t="s">
        <v>323</v>
      </c>
      <c r="H51" s="0" t="s">
        <v>31</v>
      </c>
      <c r="I51" s="0" t="s">
        <v>255</v>
      </c>
      <c r="J51" s="0" t="s">
        <v>69</v>
      </c>
      <c r="K51" s="0" t="n">
        <v>4</v>
      </c>
      <c r="L51" s="0" t="n">
        <v>4</v>
      </c>
      <c r="M51" s="0" t="n">
        <v>3</v>
      </c>
      <c r="N51" s="0" t="n">
        <v>3</v>
      </c>
      <c r="O51" s="0" t="n">
        <f aca="false">SUM(K51:N51)</f>
        <v>14</v>
      </c>
      <c r="P51" s="0" t="str">
        <f aca="false">IF(O51&gt;=15,"Yes","No")</f>
        <v>No</v>
      </c>
      <c r="Q51" s="0" t="s">
        <v>46</v>
      </c>
      <c r="R51" s="2" t="n">
        <v>693000</v>
      </c>
      <c r="S51" s="3" t="n">
        <v>0</v>
      </c>
      <c r="T51" s="2" t="n">
        <f aca="false">R51*S51</f>
        <v>0</v>
      </c>
      <c r="U51" s="4" t="s">
        <v>324</v>
      </c>
      <c r="V51" s="4" t="s">
        <v>325</v>
      </c>
      <c r="W51" s="0" t="n">
        <v>16</v>
      </c>
      <c r="X51" s="4" t="s">
        <v>326</v>
      </c>
    </row>
    <row r="52" customFormat="false" ht="15" hidden="false" customHeight="false" outlineLevel="0" collapsed="false">
      <c r="A52" s="0" t="s">
        <v>327</v>
      </c>
      <c r="B52" s="0" t="s">
        <v>291</v>
      </c>
      <c r="C52" s="0" t="s">
        <v>26</v>
      </c>
      <c r="D52" s="0" t="s">
        <v>64</v>
      </c>
      <c r="E52" s="0" t="s">
        <v>111</v>
      </c>
      <c r="F52" s="0" t="s">
        <v>153</v>
      </c>
      <c r="G52" s="0" t="s">
        <v>328</v>
      </c>
      <c r="H52" s="0" t="s">
        <v>67</v>
      </c>
      <c r="I52" s="0" t="s">
        <v>329</v>
      </c>
      <c r="J52" s="0" t="s">
        <v>59</v>
      </c>
      <c r="K52" s="0" t="n">
        <v>4</v>
      </c>
      <c r="L52" s="0" t="n">
        <v>3</v>
      </c>
      <c r="M52" s="0" t="n">
        <v>4</v>
      </c>
      <c r="N52" s="0" t="n">
        <v>2</v>
      </c>
      <c r="O52" s="0" t="n">
        <f aca="false">SUM(K52:N52)</f>
        <v>13</v>
      </c>
      <c r="P52" s="0" t="str">
        <f aca="false">IF(O52&gt;=15,"Yes","No")</f>
        <v>No</v>
      </c>
      <c r="Q52" s="0" t="s">
        <v>46</v>
      </c>
      <c r="R52" s="2" t="n">
        <v>2185000</v>
      </c>
      <c r="S52" s="3" t="n">
        <v>0</v>
      </c>
      <c r="T52" s="2" t="n">
        <f aca="false">R52*S52</f>
        <v>0</v>
      </c>
      <c r="U52" s="4" t="s">
        <v>330</v>
      </c>
      <c r="V52" s="4" t="s">
        <v>331</v>
      </c>
      <c r="W52" s="0" t="n">
        <v>40</v>
      </c>
      <c r="X52" s="4" t="s">
        <v>257</v>
      </c>
    </row>
    <row r="53" customFormat="false" ht="15" hidden="false" customHeight="false" outlineLevel="0" collapsed="false">
      <c r="A53" s="0" t="s">
        <v>332</v>
      </c>
      <c r="B53" s="0" t="s">
        <v>333</v>
      </c>
      <c r="C53" s="0" t="s">
        <v>52</v>
      </c>
      <c r="D53" s="0" t="s">
        <v>27</v>
      </c>
      <c r="E53" s="0" t="s">
        <v>92</v>
      </c>
      <c r="F53" s="0" t="s">
        <v>55</v>
      </c>
      <c r="G53" s="0" t="s">
        <v>334</v>
      </c>
      <c r="H53" s="0" t="s">
        <v>43</v>
      </c>
      <c r="I53" s="0" t="s">
        <v>335</v>
      </c>
      <c r="J53" s="0" t="s">
        <v>69</v>
      </c>
      <c r="K53" s="0" t="n">
        <v>3</v>
      </c>
      <c r="L53" s="0" t="n">
        <v>5</v>
      </c>
      <c r="M53" s="0" t="n">
        <v>3</v>
      </c>
      <c r="N53" s="0" t="n">
        <v>4</v>
      </c>
      <c r="O53" s="0" t="n">
        <f aca="false">SUM(K53:N53)</f>
        <v>15</v>
      </c>
      <c r="P53" s="0" t="str">
        <f aca="false">IF(O53&gt;=15,"Yes","No")</f>
        <v>Yes</v>
      </c>
      <c r="Q53" s="0" t="s">
        <v>60</v>
      </c>
      <c r="R53" s="2" t="n">
        <v>160000</v>
      </c>
      <c r="S53" s="3" t="n">
        <v>0.15</v>
      </c>
      <c r="T53" s="2" t="n">
        <f aca="false">R53*S53</f>
        <v>24000</v>
      </c>
      <c r="U53" s="4" t="s">
        <v>336</v>
      </c>
    </row>
    <row r="54" customFormat="false" ht="15" hidden="false" customHeight="false" outlineLevel="0" collapsed="false">
      <c r="A54" s="0" t="s">
        <v>337</v>
      </c>
      <c r="B54" s="0" t="s">
        <v>338</v>
      </c>
      <c r="C54" s="0" t="s">
        <v>26</v>
      </c>
      <c r="D54" s="0" t="s">
        <v>27</v>
      </c>
      <c r="E54" s="0" t="s">
        <v>54</v>
      </c>
      <c r="F54" s="0" t="s">
        <v>112</v>
      </c>
      <c r="G54" s="0" t="s">
        <v>56</v>
      </c>
      <c r="H54" s="0" t="s">
        <v>86</v>
      </c>
      <c r="I54" s="0" t="s">
        <v>339</v>
      </c>
      <c r="J54" s="0" t="s">
        <v>59</v>
      </c>
      <c r="K54" s="0" t="n">
        <v>1</v>
      </c>
      <c r="L54" s="0" t="n">
        <v>2</v>
      </c>
      <c r="M54" s="0" t="n">
        <v>2</v>
      </c>
      <c r="N54" s="0" t="n">
        <v>3</v>
      </c>
      <c r="O54" s="0" t="n">
        <f aca="false">SUM(K54:N54)</f>
        <v>8</v>
      </c>
      <c r="P54" s="0" t="str">
        <f aca="false">IF(O54&gt;=15,"Yes","No")</f>
        <v>No</v>
      </c>
      <c r="Q54" s="0" t="s">
        <v>159</v>
      </c>
      <c r="R54" s="2" t="n">
        <v>140000</v>
      </c>
      <c r="S54" s="3" t="n">
        <v>0.05</v>
      </c>
      <c r="T54" s="2" t="n">
        <f aca="false">R54*S54</f>
        <v>7000</v>
      </c>
      <c r="U54" s="4" t="s">
        <v>340</v>
      </c>
    </row>
    <row r="55" customFormat="false" ht="15" hidden="false" customHeight="false" outlineLevel="0" collapsed="false">
      <c r="A55" s="0" t="s">
        <v>341</v>
      </c>
      <c r="B55" s="0" t="s">
        <v>342</v>
      </c>
      <c r="C55" s="0" t="s">
        <v>39</v>
      </c>
      <c r="D55" s="0" t="s">
        <v>27</v>
      </c>
      <c r="E55" s="0" t="s">
        <v>119</v>
      </c>
      <c r="F55" s="0" t="s">
        <v>112</v>
      </c>
      <c r="G55" s="0" t="s">
        <v>343</v>
      </c>
      <c r="H55" s="0" t="s">
        <v>57</v>
      </c>
      <c r="I55" s="0" t="s">
        <v>344</v>
      </c>
      <c r="J55" s="0" t="s">
        <v>59</v>
      </c>
      <c r="K55" s="0" t="n">
        <v>1</v>
      </c>
      <c r="L55" s="0" t="n">
        <v>3</v>
      </c>
      <c r="M55" s="0" t="n">
        <v>3</v>
      </c>
      <c r="N55" s="0" t="n">
        <v>2</v>
      </c>
      <c r="O55" s="0" t="n">
        <f aca="false">SUM(K55:N55)</f>
        <v>9</v>
      </c>
      <c r="P55" s="0" t="str">
        <f aca="false">IF(O55&gt;=15,"Yes","No")</f>
        <v>No</v>
      </c>
      <c r="Q55" s="0" t="s">
        <v>159</v>
      </c>
      <c r="R55" s="2" t="n">
        <v>192000</v>
      </c>
      <c r="S55" s="3" t="n">
        <v>0.05</v>
      </c>
      <c r="T55" s="2" t="n">
        <f aca="false">R55*S55</f>
        <v>9600</v>
      </c>
      <c r="U55" s="4" t="s">
        <v>336</v>
      </c>
    </row>
    <row r="56" customFormat="false" ht="15" hidden="false" customHeight="false" outlineLevel="0" collapsed="false">
      <c r="A56" s="0" t="s">
        <v>345</v>
      </c>
      <c r="B56" s="0" t="s">
        <v>282</v>
      </c>
      <c r="C56" s="0" t="s">
        <v>52</v>
      </c>
      <c r="D56" s="0" t="s">
        <v>53</v>
      </c>
      <c r="E56" s="0" t="s">
        <v>178</v>
      </c>
      <c r="F56" s="0" t="s">
        <v>153</v>
      </c>
      <c r="G56" s="0" t="s">
        <v>260</v>
      </c>
      <c r="H56" s="0" t="s">
        <v>86</v>
      </c>
      <c r="I56" s="0" t="s">
        <v>346</v>
      </c>
      <c r="J56" s="0" t="s">
        <v>45</v>
      </c>
      <c r="K56" s="0" t="n">
        <v>3</v>
      </c>
      <c r="L56" s="0" t="n">
        <v>2</v>
      </c>
      <c r="M56" s="0" t="n">
        <v>1</v>
      </c>
      <c r="N56" s="0" t="n">
        <v>2</v>
      </c>
      <c r="O56" s="0" t="n">
        <f aca="false">SUM(K56:N56)</f>
        <v>8</v>
      </c>
      <c r="P56" s="0" t="str">
        <f aca="false">IF(O56&gt;=15,"Yes","No")</f>
        <v>No</v>
      </c>
      <c r="Q56" s="0" t="s">
        <v>159</v>
      </c>
      <c r="R56" s="2" t="n">
        <v>800000</v>
      </c>
      <c r="S56" s="3" t="n">
        <v>0.05</v>
      </c>
      <c r="T56" s="2" t="n">
        <f aca="false">R56*S56</f>
        <v>40000</v>
      </c>
      <c r="U56" s="4" t="s">
        <v>347</v>
      </c>
    </row>
    <row r="57" customFormat="false" ht="15" hidden="false" customHeight="false" outlineLevel="0" collapsed="false">
      <c r="A57" s="0" t="s">
        <v>348</v>
      </c>
      <c r="B57" s="0" t="s">
        <v>349</v>
      </c>
      <c r="C57" s="0" t="s">
        <v>39</v>
      </c>
      <c r="D57" s="0" t="s">
        <v>27</v>
      </c>
      <c r="E57" s="0" t="s">
        <v>142</v>
      </c>
      <c r="F57" s="0" t="s">
        <v>29</v>
      </c>
      <c r="G57" s="0" t="s">
        <v>350</v>
      </c>
      <c r="H57" s="0" t="s">
        <v>57</v>
      </c>
      <c r="I57" s="0" t="s">
        <v>351</v>
      </c>
      <c r="J57" s="0" t="s">
        <v>59</v>
      </c>
      <c r="K57" s="0" t="n">
        <v>2</v>
      </c>
      <c r="L57" s="0" t="n">
        <v>2</v>
      </c>
      <c r="M57" s="0" t="n">
        <v>3</v>
      </c>
      <c r="N57" s="0" t="n">
        <v>3</v>
      </c>
      <c r="O57" s="0" t="n">
        <f aca="false">SUM(K57:N57)</f>
        <v>10</v>
      </c>
      <c r="P57" s="0" t="str">
        <f aca="false">IF(O57&gt;=15,"Yes","No")</f>
        <v>No</v>
      </c>
      <c r="Q57" s="0" t="s">
        <v>60</v>
      </c>
      <c r="R57" s="2" t="n">
        <v>148000</v>
      </c>
      <c r="S57" s="3" t="n">
        <v>0.15</v>
      </c>
      <c r="T57" s="2" t="n">
        <f aca="false">R57*S57</f>
        <v>22200</v>
      </c>
      <c r="U57" s="4" t="s">
        <v>352</v>
      </c>
    </row>
    <row r="58" customFormat="false" ht="15" hidden="false" customHeight="false" outlineLevel="0" collapsed="false">
      <c r="A58" s="0" t="s">
        <v>353</v>
      </c>
      <c r="B58" s="0" t="s">
        <v>354</v>
      </c>
      <c r="C58" s="0" t="s">
        <v>74</v>
      </c>
      <c r="D58" s="0" t="s">
        <v>27</v>
      </c>
      <c r="E58" s="0" t="s">
        <v>136</v>
      </c>
      <c r="F58" s="0" t="s">
        <v>29</v>
      </c>
      <c r="G58" s="0" t="s">
        <v>270</v>
      </c>
      <c r="H58" s="0" t="s">
        <v>57</v>
      </c>
      <c r="I58" s="0" t="s">
        <v>344</v>
      </c>
      <c r="J58" s="0" t="s">
        <v>59</v>
      </c>
      <c r="K58" s="0" t="n">
        <v>2</v>
      </c>
      <c r="L58" s="0" t="n">
        <v>3</v>
      </c>
      <c r="M58" s="0" t="n">
        <v>2</v>
      </c>
      <c r="N58" s="0" t="n">
        <v>4</v>
      </c>
      <c r="O58" s="0" t="n">
        <f aca="false">SUM(K58:N58)</f>
        <v>11</v>
      </c>
      <c r="P58" s="0" t="str">
        <f aca="false">IF(O58&gt;=15,"Yes","No")</f>
        <v>No</v>
      </c>
      <c r="Q58" s="0" t="s">
        <v>46</v>
      </c>
      <c r="R58" s="2" t="n">
        <v>154000</v>
      </c>
      <c r="S58" s="3" t="n">
        <v>0</v>
      </c>
      <c r="T58" s="2" t="n">
        <f aca="false">R58*S58</f>
        <v>0</v>
      </c>
      <c r="U58" s="4" t="s">
        <v>355</v>
      </c>
      <c r="V58" s="4" t="s">
        <v>356</v>
      </c>
      <c r="W58" s="0" t="n">
        <v>25</v>
      </c>
      <c r="X58" s="4" t="s">
        <v>326</v>
      </c>
    </row>
    <row r="59" customFormat="false" ht="15" hidden="false" customHeight="false" outlineLevel="0" collapsed="false">
      <c r="A59" s="0" t="s">
        <v>357</v>
      </c>
      <c r="B59" s="0" t="s">
        <v>259</v>
      </c>
      <c r="C59" s="0" t="s">
        <v>39</v>
      </c>
      <c r="D59" s="0" t="s">
        <v>53</v>
      </c>
      <c r="E59" s="0" t="s">
        <v>99</v>
      </c>
      <c r="F59" s="0" t="s">
        <v>55</v>
      </c>
      <c r="G59" s="0" t="s">
        <v>358</v>
      </c>
      <c r="H59" s="0" t="s">
        <v>67</v>
      </c>
      <c r="I59" s="0" t="s">
        <v>164</v>
      </c>
      <c r="J59" s="0" t="s">
        <v>59</v>
      </c>
      <c r="K59" s="0" t="n">
        <v>4</v>
      </c>
      <c r="L59" s="0" t="n">
        <v>4</v>
      </c>
      <c r="M59" s="0" t="n">
        <v>2</v>
      </c>
      <c r="N59" s="0" t="n">
        <v>2</v>
      </c>
      <c r="O59" s="0" t="n">
        <f aca="false">SUM(K59:N59)</f>
        <v>12</v>
      </c>
      <c r="P59" s="0" t="str">
        <f aca="false">IF(O59&gt;=15,"Yes","No")</f>
        <v>No</v>
      </c>
      <c r="Q59" s="0" t="s">
        <v>34</v>
      </c>
      <c r="R59" s="2" t="n">
        <v>550000</v>
      </c>
      <c r="S59" s="3" t="n">
        <v>1</v>
      </c>
      <c r="T59" s="2" t="n">
        <f aca="false">R59*S59</f>
        <v>550000</v>
      </c>
      <c r="U59" s="4" t="s">
        <v>359</v>
      </c>
      <c r="V59" s="4" t="s">
        <v>165</v>
      </c>
      <c r="W59" s="0" t="n">
        <v>26</v>
      </c>
    </row>
    <row r="60" customFormat="false" ht="15" hidden="false" customHeight="false" outlineLevel="0" collapsed="false">
      <c r="A60" s="0" t="s">
        <v>360</v>
      </c>
      <c r="B60" s="0" t="s">
        <v>361</v>
      </c>
      <c r="C60" s="0" t="s">
        <v>26</v>
      </c>
      <c r="D60" s="0" t="s">
        <v>64</v>
      </c>
      <c r="E60" s="0" t="s">
        <v>111</v>
      </c>
      <c r="F60" s="0" t="s">
        <v>112</v>
      </c>
      <c r="G60" s="0" t="s">
        <v>362</v>
      </c>
      <c r="H60" s="0" t="s">
        <v>67</v>
      </c>
      <c r="I60" s="0" t="s">
        <v>197</v>
      </c>
      <c r="J60" s="0" t="s">
        <v>59</v>
      </c>
      <c r="K60" s="0" t="n">
        <v>1</v>
      </c>
      <c r="L60" s="0" t="n">
        <v>4</v>
      </c>
      <c r="M60" s="0" t="n">
        <v>2</v>
      </c>
      <c r="N60" s="0" t="n">
        <v>1</v>
      </c>
      <c r="O60" s="0" t="n">
        <f aca="false">SUM(K60:N60)</f>
        <v>8</v>
      </c>
      <c r="P60" s="0" t="str">
        <f aca="false">IF(O60&gt;=15,"Yes","No")</f>
        <v>No</v>
      </c>
      <c r="Q60" s="0" t="s">
        <v>159</v>
      </c>
      <c r="R60" s="2" t="n">
        <v>2043000</v>
      </c>
      <c r="S60" s="3" t="n">
        <v>0.05</v>
      </c>
      <c r="T60" s="2" t="n">
        <f aca="false">R60*S60</f>
        <v>102150</v>
      </c>
      <c r="U60" s="4" t="s">
        <v>363</v>
      </c>
    </row>
    <row r="61" customFormat="false" ht="15" hidden="false" customHeight="false" outlineLevel="0" collapsed="false">
      <c r="A61" s="0" t="s">
        <v>364</v>
      </c>
      <c r="B61" s="0" t="s">
        <v>241</v>
      </c>
      <c r="C61" s="0" t="s">
        <v>184</v>
      </c>
      <c r="D61" s="0" t="s">
        <v>64</v>
      </c>
      <c r="E61" s="0" t="s">
        <v>54</v>
      </c>
      <c r="F61" s="0" t="s">
        <v>75</v>
      </c>
      <c r="G61" s="0" t="s">
        <v>365</v>
      </c>
      <c r="H61" s="0" t="s">
        <v>86</v>
      </c>
      <c r="I61" s="0" t="s">
        <v>319</v>
      </c>
      <c r="J61" s="0" t="s">
        <v>69</v>
      </c>
      <c r="K61" s="0" t="n">
        <v>1</v>
      </c>
      <c r="L61" s="0" t="n">
        <v>1</v>
      </c>
      <c r="M61" s="0" t="n">
        <v>1</v>
      </c>
      <c r="N61" s="0" t="n">
        <v>1</v>
      </c>
      <c r="O61" s="0" t="n">
        <f aca="false">SUM(K61:N61)</f>
        <v>4</v>
      </c>
      <c r="P61" s="0" t="str">
        <f aca="false">IF(O61&gt;=15,"Yes","No")</f>
        <v>No</v>
      </c>
      <c r="Q61" s="0" t="s">
        <v>159</v>
      </c>
      <c r="R61" s="2" t="n">
        <v>2978000</v>
      </c>
      <c r="S61" s="3" t="n">
        <v>0.05</v>
      </c>
      <c r="T61" s="2" t="n">
        <f aca="false">R61*S61</f>
        <v>148900</v>
      </c>
      <c r="U61" s="4" t="s">
        <v>366</v>
      </c>
    </row>
    <row r="62" customFormat="false" ht="15" hidden="false" customHeight="false" outlineLevel="0" collapsed="false">
      <c r="A62" s="0" t="s">
        <v>367</v>
      </c>
      <c r="B62" s="0" t="s">
        <v>368</v>
      </c>
      <c r="C62" s="0" t="s">
        <v>129</v>
      </c>
      <c r="D62" s="0" t="s">
        <v>53</v>
      </c>
      <c r="E62" s="0" t="s">
        <v>40</v>
      </c>
      <c r="F62" s="0" t="s">
        <v>153</v>
      </c>
      <c r="G62" s="0" t="s">
        <v>369</v>
      </c>
      <c r="H62" s="0" t="s">
        <v>248</v>
      </c>
      <c r="I62" s="0" t="s">
        <v>370</v>
      </c>
      <c r="J62" s="0" t="s">
        <v>45</v>
      </c>
      <c r="K62" s="0" t="n">
        <v>3</v>
      </c>
      <c r="L62" s="0" t="n">
        <v>2</v>
      </c>
      <c r="M62" s="0" t="n">
        <v>1</v>
      </c>
      <c r="N62" s="0" t="n">
        <v>4</v>
      </c>
      <c r="O62" s="0" t="n">
        <f aca="false">SUM(K62:N62)</f>
        <v>10</v>
      </c>
      <c r="P62" s="0" t="str">
        <f aca="false">IF(O62&gt;=15,"Yes","No")</f>
        <v>No</v>
      </c>
      <c r="Q62" s="0" t="s">
        <v>60</v>
      </c>
      <c r="R62" s="2" t="n">
        <v>686000</v>
      </c>
      <c r="S62" s="3" t="n">
        <v>0.15</v>
      </c>
      <c r="T62" s="2" t="n">
        <f aca="false">R62*S62</f>
        <v>102900</v>
      </c>
      <c r="U62" s="4" t="s">
        <v>371</v>
      </c>
    </row>
    <row r="63" customFormat="false" ht="15" hidden="false" customHeight="false" outlineLevel="0" collapsed="false">
      <c r="A63" s="0" t="s">
        <v>372</v>
      </c>
      <c r="B63" s="0" t="s">
        <v>51</v>
      </c>
      <c r="C63" s="0" t="s">
        <v>26</v>
      </c>
      <c r="D63" s="0" t="s">
        <v>27</v>
      </c>
      <c r="E63" s="0" t="s">
        <v>136</v>
      </c>
      <c r="F63" s="0" t="s">
        <v>112</v>
      </c>
      <c r="G63" s="0" t="s">
        <v>373</v>
      </c>
      <c r="H63" s="0" t="s">
        <v>67</v>
      </c>
      <c r="I63" s="0" t="s">
        <v>108</v>
      </c>
      <c r="J63" s="0" t="s">
        <v>33</v>
      </c>
      <c r="K63" s="0" t="n">
        <v>3</v>
      </c>
      <c r="L63" s="0" t="n">
        <v>3</v>
      </c>
      <c r="M63" s="0" t="n">
        <v>4</v>
      </c>
      <c r="N63" s="0" t="n">
        <v>4</v>
      </c>
      <c r="O63" s="0" t="n">
        <f aca="false">SUM(K63:N63)</f>
        <v>14</v>
      </c>
      <c r="P63" s="0" t="str">
        <f aca="false">IF(O63&gt;=15,"Yes","No")</f>
        <v>No</v>
      </c>
      <c r="Q63" s="0" t="s">
        <v>60</v>
      </c>
      <c r="R63" s="2" t="n">
        <v>177000</v>
      </c>
      <c r="S63" s="3" t="n">
        <v>0.15</v>
      </c>
      <c r="T63" s="2" t="n">
        <f aca="false">R63*S63</f>
        <v>26550</v>
      </c>
      <c r="U63" s="4" t="s">
        <v>374</v>
      </c>
    </row>
    <row r="64" customFormat="false" ht="15" hidden="false" customHeight="false" outlineLevel="0" collapsed="false">
      <c r="A64" s="0" t="s">
        <v>375</v>
      </c>
      <c r="B64" s="0" t="s">
        <v>376</v>
      </c>
      <c r="C64" s="0" t="s">
        <v>184</v>
      </c>
      <c r="D64" s="0" t="s">
        <v>64</v>
      </c>
      <c r="E64" s="0" t="s">
        <v>215</v>
      </c>
      <c r="F64" s="0" t="s">
        <v>179</v>
      </c>
      <c r="G64" s="0" t="s">
        <v>377</v>
      </c>
      <c r="H64" s="0" t="s">
        <v>86</v>
      </c>
      <c r="I64" s="0" t="s">
        <v>378</v>
      </c>
      <c r="J64" s="0" t="s">
        <v>45</v>
      </c>
      <c r="K64" s="0" t="n">
        <v>4</v>
      </c>
      <c r="L64" s="0" t="n">
        <v>2</v>
      </c>
      <c r="M64" s="0" t="n">
        <v>3</v>
      </c>
      <c r="N64" s="0" t="n">
        <v>1</v>
      </c>
      <c r="O64" s="0" t="n">
        <f aca="false">SUM(K64:N64)</f>
        <v>10</v>
      </c>
      <c r="P64" s="0" t="str">
        <f aca="false">IF(O64&gt;=15,"Yes","No")</f>
        <v>No</v>
      </c>
      <c r="Q64" s="0" t="s">
        <v>70</v>
      </c>
      <c r="R64" s="2" t="n">
        <v>2043000</v>
      </c>
      <c r="S64" s="3" t="n">
        <v>0.55</v>
      </c>
      <c r="T64" s="2" t="n">
        <f aca="false">R64*S64</f>
        <v>1123650</v>
      </c>
      <c r="U64" s="4" t="s">
        <v>379</v>
      </c>
    </row>
    <row r="65" customFormat="false" ht="15" hidden="false" customHeight="false" outlineLevel="0" collapsed="false">
      <c r="A65" s="0" t="s">
        <v>380</v>
      </c>
      <c r="B65" s="0" t="s">
        <v>381</v>
      </c>
      <c r="C65" s="0" t="s">
        <v>26</v>
      </c>
      <c r="D65" s="0" t="s">
        <v>53</v>
      </c>
      <c r="E65" s="0" t="s">
        <v>92</v>
      </c>
      <c r="F65" s="0" t="s">
        <v>130</v>
      </c>
      <c r="G65" s="0" t="s">
        <v>382</v>
      </c>
      <c r="H65" s="0" t="s">
        <v>86</v>
      </c>
      <c r="I65" s="0" t="s">
        <v>383</v>
      </c>
      <c r="J65" s="0" t="s">
        <v>45</v>
      </c>
      <c r="K65" s="0" t="n">
        <v>2</v>
      </c>
      <c r="L65" s="0" t="n">
        <v>2</v>
      </c>
      <c r="M65" s="0" t="n">
        <v>1</v>
      </c>
      <c r="N65" s="0" t="n">
        <v>1</v>
      </c>
      <c r="O65" s="0" t="n">
        <f aca="false">SUM(K65:N65)</f>
        <v>6</v>
      </c>
      <c r="P65" s="0" t="str">
        <f aca="false">IF(O65&gt;=15,"Yes","No")</f>
        <v>No</v>
      </c>
      <c r="Q65" s="0" t="s">
        <v>46</v>
      </c>
      <c r="R65" s="2" t="n">
        <v>866000</v>
      </c>
      <c r="S65" s="3" t="n">
        <v>0</v>
      </c>
      <c r="T65" s="2" t="n">
        <f aca="false">R65*S65</f>
        <v>0</v>
      </c>
      <c r="U65" s="4" t="s">
        <v>126</v>
      </c>
      <c r="V65" s="4" t="s">
        <v>384</v>
      </c>
      <c r="W65" s="0" t="n">
        <v>29</v>
      </c>
      <c r="X65" s="4" t="s">
        <v>326</v>
      </c>
    </row>
    <row r="66" customFormat="false" ht="15" hidden="false" customHeight="false" outlineLevel="0" collapsed="false">
      <c r="A66" s="0" t="s">
        <v>385</v>
      </c>
      <c r="B66" s="0" t="s">
        <v>386</v>
      </c>
      <c r="C66" s="0" t="s">
        <v>129</v>
      </c>
      <c r="D66" s="0" t="s">
        <v>53</v>
      </c>
      <c r="E66" s="0" t="s">
        <v>111</v>
      </c>
      <c r="F66" s="0" t="s">
        <v>130</v>
      </c>
      <c r="G66" s="0" t="s">
        <v>387</v>
      </c>
      <c r="H66" s="0" t="s">
        <v>86</v>
      </c>
      <c r="I66" s="0" t="s">
        <v>388</v>
      </c>
      <c r="J66" s="0" t="s">
        <v>59</v>
      </c>
      <c r="K66" s="0" t="n">
        <v>1</v>
      </c>
      <c r="L66" s="0" t="n">
        <v>3</v>
      </c>
      <c r="M66" s="0" t="n">
        <v>1</v>
      </c>
      <c r="N66" s="0" t="n">
        <v>1</v>
      </c>
      <c r="O66" s="0" t="n">
        <f aca="false">SUM(K66:N66)</f>
        <v>6</v>
      </c>
      <c r="P66" s="0" t="str">
        <f aca="false">IF(O66&gt;=15,"Yes","No")</f>
        <v>No</v>
      </c>
      <c r="Q66" s="0" t="s">
        <v>34</v>
      </c>
      <c r="R66" s="2" t="n">
        <v>902000</v>
      </c>
      <c r="S66" s="3" t="n">
        <v>1</v>
      </c>
      <c r="T66" s="2" t="n">
        <f aca="false">R66*S66</f>
        <v>902000</v>
      </c>
      <c r="U66" s="4" t="s">
        <v>389</v>
      </c>
      <c r="V66" s="4" t="s">
        <v>390</v>
      </c>
      <c r="W66" s="0" t="n">
        <v>30</v>
      </c>
    </row>
    <row r="67" customFormat="false" ht="15" hidden="false" customHeight="false" outlineLevel="0" collapsed="false">
      <c r="A67" s="0" t="s">
        <v>391</v>
      </c>
      <c r="B67" s="0" t="s">
        <v>200</v>
      </c>
      <c r="C67" s="0" t="s">
        <v>26</v>
      </c>
      <c r="D67" s="0" t="s">
        <v>27</v>
      </c>
      <c r="E67" s="0" t="s">
        <v>111</v>
      </c>
      <c r="F67" s="0" t="s">
        <v>55</v>
      </c>
      <c r="G67" s="0" t="s">
        <v>387</v>
      </c>
      <c r="H67" s="0" t="s">
        <v>67</v>
      </c>
      <c r="I67" s="0" t="s">
        <v>392</v>
      </c>
      <c r="J67" s="0" t="s">
        <v>45</v>
      </c>
      <c r="K67" s="0" t="n">
        <v>3</v>
      </c>
      <c r="L67" s="0" t="n">
        <v>4</v>
      </c>
      <c r="M67" s="0" t="n">
        <v>4</v>
      </c>
      <c r="N67" s="0" t="n">
        <v>1</v>
      </c>
      <c r="O67" s="0" t="n">
        <f aca="false">SUM(K67:N67)</f>
        <v>12</v>
      </c>
      <c r="P67" s="0" t="str">
        <f aca="false">IF(O67&gt;=15,"Yes","No")</f>
        <v>No</v>
      </c>
      <c r="Q67" s="0" t="s">
        <v>159</v>
      </c>
      <c r="R67" s="2" t="n">
        <v>229000</v>
      </c>
      <c r="S67" s="3" t="n">
        <v>0.05</v>
      </c>
      <c r="T67" s="2" t="n">
        <f aca="false">R67*S67</f>
        <v>11450</v>
      </c>
      <c r="U67" s="4" t="s">
        <v>393</v>
      </c>
    </row>
    <row r="68" customFormat="false" ht="15" hidden="false" customHeight="false" outlineLevel="0" collapsed="false">
      <c r="A68" s="0" t="s">
        <v>394</v>
      </c>
      <c r="B68" s="0" t="s">
        <v>395</v>
      </c>
      <c r="C68" s="0" t="s">
        <v>74</v>
      </c>
      <c r="D68" s="0" t="s">
        <v>27</v>
      </c>
      <c r="E68" s="0" t="s">
        <v>195</v>
      </c>
      <c r="F68" s="0" t="s">
        <v>75</v>
      </c>
      <c r="G68" s="0" t="s">
        <v>396</v>
      </c>
      <c r="H68" s="0" t="s">
        <v>57</v>
      </c>
      <c r="I68" s="0" t="s">
        <v>280</v>
      </c>
      <c r="J68" s="0" t="s">
        <v>45</v>
      </c>
      <c r="K68" s="0" t="n">
        <v>1</v>
      </c>
      <c r="L68" s="0" t="n">
        <v>1</v>
      </c>
      <c r="M68" s="0" t="n">
        <v>5</v>
      </c>
      <c r="N68" s="0" t="n">
        <v>1</v>
      </c>
      <c r="O68" s="0" t="n">
        <f aca="false">SUM(K68:N68)</f>
        <v>8</v>
      </c>
      <c r="P68" s="0" t="str">
        <f aca="false">IF(O68&gt;=15,"Yes","No")</f>
        <v>No</v>
      </c>
      <c r="Q68" s="0" t="s">
        <v>60</v>
      </c>
      <c r="R68" s="2" t="n">
        <v>212000</v>
      </c>
      <c r="S68" s="3" t="n">
        <v>0.15</v>
      </c>
      <c r="T68" s="2" t="n">
        <f aca="false">R68*S68</f>
        <v>31800</v>
      </c>
      <c r="U68" s="4" t="s">
        <v>397</v>
      </c>
    </row>
    <row r="69" customFormat="false" ht="15" hidden="false" customHeight="false" outlineLevel="0" collapsed="false">
      <c r="A69" s="0" t="s">
        <v>398</v>
      </c>
      <c r="B69" s="0" t="s">
        <v>128</v>
      </c>
      <c r="C69" s="0" t="s">
        <v>74</v>
      </c>
      <c r="D69" s="0" t="s">
        <v>27</v>
      </c>
      <c r="E69" s="0" t="s">
        <v>84</v>
      </c>
      <c r="F69" s="0" t="s">
        <v>153</v>
      </c>
      <c r="G69" s="0" t="s">
        <v>399</v>
      </c>
      <c r="H69" s="0" t="s">
        <v>57</v>
      </c>
      <c r="I69" s="0" t="s">
        <v>400</v>
      </c>
      <c r="J69" s="0" t="s">
        <v>59</v>
      </c>
      <c r="K69" s="0" t="n">
        <v>2</v>
      </c>
      <c r="L69" s="0" t="n">
        <v>1</v>
      </c>
      <c r="M69" s="0" t="n">
        <v>2</v>
      </c>
      <c r="N69" s="0" t="n">
        <v>3</v>
      </c>
      <c r="O69" s="0" t="n">
        <f aca="false">SUM(K69:N69)</f>
        <v>8</v>
      </c>
      <c r="P69" s="0" t="str">
        <f aca="false">IF(O69&gt;=15,"Yes","No")</f>
        <v>No</v>
      </c>
      <c r="Q69" s="0" t="s">
        <v>60</v>
      </c>
      <c r="R69" s="2" t="n">
        <v>173000</v>
      </c>
      <c r="S69" s="3" t="n">
        <v>0.15</v>
      </c>
      <c r="T69" s="2" t="n">
        <f aca="false">R69*S69</f>
        <v>25950</v>
      </c>
      <c r="U69" s="4" t="s">
        <v>401</v>
      </c>
    </row>
    <row r="70" customFormat="false" ht="15" hidden="false" customHeight="false" outlineLevel="0" collapsed="false">
      <c r="A70" s="0" t="s">
        <v>402</v>
      </c>
      <c r="B70" s="0" t="s">
        <v>403</v>
      </c>
      <c r="C70" s="0" t="s">
        <v>74</v>
      </c>
      <c r="D70" s="0" t="s">
        <v>64</v>
      </c>
      <c r="E70" s="0" t="s">
        <v>178</v>
      </c>
      <c r="F70" s="0" t="s">
        <v>29</v>
      </c>
      <c r="G70" s="0" t="s">
        <v>404</v>
      </c>
      <c r="H70" s="0" t="s">
        <v>248</v>
      </c>
      <c r="I70" s="0" t="s">
        <v>405</v>
      </c>
      <c r="J70" s="0" t="s">
        <v>45</v>
      </c>
      <c r="K70" s="0" t="n">
        <v>3</v>
      </c>
      <c r="L70" s="0" t="n">
        <v>3</v>
      </c>
      <c r="M70" s="0" t="n">
        <v>1</v>
      </c>
      <c r="N70" s="0" t="n">
        <v>4</v>
      </c>
      <c r="O70" s="0" t="n">
        <f aca="false">SUM(K70:N70)</f>
        <v>11</v>
      </c>
      <c r="P70" s="0" t="str">
        <f aca="false">IF(O70&gt;=15,"Yes","No")</f>
        <v>No</v>
      </c>
      <c r="Q70" s="0" t="s">
        <v>34</v>
      </c>
      <c r="R70" s="2" t="n">
        <v>2185000</v>
      </c>
      <c r="S70" s="3" t="n">
        <v>1</v>
      </c>
      <c r="T70" s="2" t="n">
        <f aca="false">R70*S70</f>
        <v>2185000</v>
      </c>
      <c r="U70" s="4" t="s">
        <v>406</v>
      </c>
      <c r="V70" s="4" t="s">
        <v>407</v>
      </c>
      <c r="W70" s="0" t="n">
        <v>30</v>
      </c>
    </row>
    <row r="71" customFormat="false" ht="15" hidden="false" customHeight="false" outlineLevel="0" collapsed="false">
      <c r="A71" s="0" t="s">
        <v>408</v>
      </c>
      <c r="B71" s="0" t="s">
        <v>177</v>
      </c>
      <c r="C71" s="0" t="s">
        <v>52</v>
      </c>
      <c r="D71" s="0" t="s">
        <v>53</v>
      </c>
      <c r="E71" s="0" t="s">
        <v>215</v>
      </c>
      <c r="F71" s="0" t="s">
        <v>75</v>
      </c>
      <c r="G71" s="0" t="s">
        <v>409</v>
      </c>
      <c r="H71" s="0" t="s">
        <v>86</v>
      </c>
      <c r="I71" s="0" t="s">
        <v>389</v>
      </c>
      <c r="J71" s="0" t="s">
        <v>78</v>
      </c>
      <c r="K71" s="0" t="n">
        <v>1</v>
      </c>
      <c r="L71" s="0" t="n">
        <v>1</v>
      </c>
      <c r="M71" s="0" t="n">
        <v>1</v>
      </c>
      <c r="N71" s="0" t="n">
        <v>1</v>
      </c>
      <c r="O71" s="0" t="n">
        <f aca="false">SUM(K71:N71)</f>
        <v>4</v>
      </c>
      <c r="P71" s="0" t="str">
        <f aca="false">IF(O71&gt;=15,"Yes","No")</f>
        <v>No</v>
      </c>
      <c r="Q71" s="0" t="s">
        <v>60</v>
      </c>
      <c r="R71" s="2" t="n">
        <v>726000</v>
      </c>
      <c r="S71" s="3" t="n">
        <v>0.15</v>
      </c>
      <c r="T71" s="2" t="n">
        <f aca="false">R71*S71</f>
        <v>108900</v>
      </c>
      <c r="U71" s="4" t="s">
        <v>410</v>
      </c>
    </row>
    <row r="72" customFormat="false" ht="15" hidden="false" customHeight="false" outlineLevel="0" collapsed="false">
      <c r="A72" s="0" t="s">
        <v>411</v>
      </c>
      <c r="B72" s="0" t="s">
        <v>412</v>
      </c>
      <c r="C72" s="0" t="s">
        <v>39</v>
      </c>
      <c r="D72" s="0" t="s">
        <v>27</v>
      </c>
      <c r="E72" s="0" t="s">
        <v>195</v>
      </c>
      <c r="F72" s="0" t="s">
        <v>130</v>
      </c>
      <c r="G72" s="0" t="s">
        <v>413</v>
      </c>
      <c r="H72" s="0" t="s">
        <v>31</v>
      </c>
      <c r="I72" s="0" t="s">
        <v>414</v>
      </c>
      <c r="J72" s="0" t="s">
        <v>45</v>
      </c>
      <c r="K72" s="0" t="n">
        <v>4</v>
      </c>
      <c r="L72" s="0" t="n">
        <v>2</v>
      </c>
      <c r="M72" s="0" t="n">
        <v>3</v>
      </c>
      <c r="N72" s="0" t="n">
        <v>3</v>
      </c>
      <c r="O72" s="0" t="n">
        <f aca="false">SUM(K72:N72)</f>
        <v>12</v>
      </c>
      <c r="P72" s="0" t="str">
        <f aca="false">IF(O72&gt;=15,"Yes","No")</f>
        <v>No</v>
      </c>
      <c r="Q72" s="0" t="s">
        <v>60</v>
      </c>
      <c r="R72" s="2" t="n">
        <v>183000</v>
      </c>
      <c r="S72" s="3" t="n">
        <v>0.15</v>
      </c>
      <c r="T72" s="2" t="n">
        <f aca="false">R72*S72</f>
        <v>27450</v>
      </c>
      <c r="U72" s="4" t="s">
        <v>138</v>
      </c>
    </row>
    <row r="73" customFormat="false" ht="15" hidden="false" customHeight="false" outlineLevel="0" collapsed="false">
      <c r="A73" s="0" t="s">
        <v>415</v>
      </c>
      <c r="B73" s="0" t="s">
        <v>241</v>
      </c>
      <c r="C73" s="0" t="s">
        <v>264</v>
      </c>
      <c r="D73" s="0" t="s">
        <v>64</v>
      </c>
      <c r="E73" s="0" t="s">
        <v>40</v>
      </c>
      <c r="F73" s="0" t="s">
        <v>29</v>
      </c>
      <c r="G73" s="0" t="s">
        <v>416</v>
      </c>
      <c r="H73" s="0" t="s">
        <v>57</v>
      </c>
      <c r="I73" s="0" t="s">
        <v>324</v>
      </c>
      <c r="J73" s="0" t="s">
        <v>33</v>
      </c>
      <c r="K73" s="0" t="n">
        <v>1</v>
      </c>
      <c r="L73" s="0" t="n">
        <v>4</v>
      </c>
      <c r="M73" s="0" t="n">
        <v>1</v>
      </c>
      <c r="N73" s="0" t="n">
        <v>1</v>
      </c>
      <c r="O73" s="0" t="n">
        <f aca="false">SUM(K73:N73)</f>
        <v>7</v>
      </c>
      <c r="P73" s="0" t="str">
        <f aca="false">IF(O73&gt;=15,"Yes","No")</f>
        <v>No</v>
      </c>
      <c r="Q73" s="0" t="s">
        <v>159</v>
      </c>
      <c r="R73" s="2" t="n">
        <v>1942000</v>
      </c>
      <c r="S73" s="3" t="n">
        <v>0.05</v>
      </c>
      <c r="T73" s="2" t="n">
        <f aca="false">R73*S73</f>
        <v>97100</v>
      </c>
      <c r="U73" s="4" t="s">
        <v>417</v>
      </c>
    </row>
    <row r="74" customFormat="false" ht="15" hidden="false" customHeight="false" outlineLevel="0" collapsed="false">
      <c r="A74" s="0" t="s">
        <v>418</v>
      </c>
      <c r="B74" s="0" t="s">
        <v>419</v>
      </c>
      <c r="C74" s="0" t="s">
        <v>74</v>
      </c>
      <c r="D74" s="0" t="s">
        <v>27</v>
      </c>
      <c r="E74" s="0" t="s">
        <v>195</v>
      </c>
      <c r="F74" s="0" t="s">
        <v>41</v>
      </c>
      <c r="G74" s="0" t="s">
        <v>413</v>
      </c>
      <c r="H74" s="0" t="s">
        <v>31</v>
      </c>
      <c r="I74" s="0" t="s">
        <v>420</v>
      </c>
      <c r="J74" s="0" t="s">
        <v>45</v>
      </c>
      <c r="K74" s="0" t="n">
        <v>4</v>
      </c>
      <c r="L74" s="0" t="n">
        <v>4</v>
      </c>
      <c r="M74" s="0" t="n">
        <v>5</v>
      </c>
      <c r="N74" s="0" t="n">
        <v>3</v>
      </c>
      <c r="O74" s="0" t="n">
        <f aca="false">SUM(K74:N74)</f>
        <v>16</v>
      </c>
      <c r="P74" s="0" t="str">
        <f aca="false">IF(O74&gt;=15,"Yes","No")</f>
        <v>Yes</v>
      </c>
      <c r="Q74" s="0" t="s">
        <v>115</v>
      </c>
      <c r="R74" s="2" t="n">
        <v>196000</v>
      </c>
      <c r="S74" s="3" t="n">
        <v>0.35</v>
      </c>
      <c r="T74" s="2" t="n">
        <f aca="false">R74*S74</f>
        <v>68600</v>
      </c>
      <c r="U74" s="4" t="s">
        <v>47</v>
      </c>
    </row>
    <row r="75" customFormat="false" ht="15" hidden="false" customHeight="false" outlineLevel="0" collapsed="false">
      <c r="A75" s="0" t="s">
        <v>421</v>
      </c>
      <c r="B75" s="0" t="s">
        <v>422</v>
      </c>
      <c r="C75" s="0" t="s">
        <v>74</v>
      </c>
      <c r="D75" s="0" t="s">
        <v>27</v>
      </c>
      <c r="E75" s="0" t="s">
        <v>54</v>
      </c>
      <c r="F75" s="0" t="s">
        <v>41</v>
      </c>
      <c r="G75" s="0" t="s">
        <v>423</v>
      </c>
      <c r="H75" s="0" t="s">
        <v>57</v>
      </c>
      <c r="I75" s="0" t="s">
        <v>272</v>
      </c>
      <c r="J75" s="0" t="s">
        <v>69</v>
      </c>
      <c r="K75" s="0" t="n">
        <v>1</v>
      </c>
      <c r="L75" s="0" t="n">
        <v>3</v>
      </c>
      <c r="M75" s="0" t="n">
        <v>2</v>
      </c>
      <c r="N75" s="0" t="n">
        <v>2</v>
      </c>
      <c r="O75" s="0" t="n">
        <f aca="false">SUM(K75:N75)</f>
        <v>8</v>
      </c>
      <c r="P75" s="0" t="str">
        <f aca="false">IF(O75&gt;=15,"Yes","No")</f>
        <v>No</v>
      </c>
      <c r="Q75" s="0" t="s">
        <v>60</v>
      </c>
      <c r="R75" s="2" t="n">
        <v>227000</v>
      </c>
      <c r="S75" s="3" t="n">
        <v>0.15</v>
      </c>
      <c r="T75" s="2" t="n">
        <f aca="false">R75*S75</f>
        <v>34050</v>
      </c>
      <c r="U75" s="4" t="s">
        <v>356</v>
      </c>
    </row>
    <row r="76" customFormat="false" ht="15" hidden="false" customHeight="false" outlineLevel="0" collapsed="false">
      <c r="A76" s="0" t="s">
        <v>424</v>
      </c>
      <c r="B76" s="0" t="s">
        <v>425</v>
      </c>
      <c r="C76" s="0" t="s">
        <v>129</v>
      </c>
      <c r="D76" s="0" t="s">
        <v>53</v>
      </c>
      <c r="E76" s="0" t="s">
        <v>178</v>
      </c>
      <c r="F76" s="0" t="s">
        <v>55</v>
      </c>
      <c r="G76" s="0" t="s">
        <v>317</v>
      </c>
      <c r="H76" s="0" t="s">
        <v>86</v>
      </c>
      <c r="I76" s="0" t="s">
        <v>426</v>
      </c>
      <c r="J76" s="0" t="s">
        <v>45</v>
      </c>
      <c r="K76" s="0" t="n">
        <v>1</v>
      </c>
      <c r="L76" s="0" t="n">
        <v>2</v>
      </c>
      <c r="M76" s="0" t="n">
        <v>1</v>
      </c>
      <c r="N76" s="0" t="n">
        <v>2</v>
      </c>
      <c r="O76" s="0" t="n">
        <f aca="false">SUM(K76:N76)</f>
        <v>6</v>
      </c>
      <c r="P76" s="0" t="str">
        <f aca="false">IF(O76&gt;=15,"Yes","No")</f>
        <v>No</v>
      </c>
      <c r="Q76" s="0" t="s">
        <v>159</v>
      </c>
      <c r="R76" s="2" t="n">
        <v>525000</v>
      </c>
      <c r="S76" s="3" t="n">
        <v>0.05</v>
      </c>
      <c r="T76" s="2" t="n">
        <f aca="false">R76*S76</f>
        <v>26250</v>
      </c>
      <c r="U76" s="4" t="s">
        <v>175</v>
      </c>
    </row>
    <row r="77" customFormat="false" ht="15" hidden="false" customHeight="false" outlineLevel="0" collapsed="false">
      <c r="A77" s="0" t="s">
        <v>427</v>
      </c>
      <c r="B77" s="0" t="s">
        <v>428</v>
      </c>
      <c r="C77" s="0" t="s">
        <v>39</v>
      </c>
      <c r="D77" s="0" t="s">
        <v>53</v>
      </c>
      <c r="E77" s="0" t="s">
        <v>40</v>
      </c>
      <c r="F77" s="0" t="s">
        <v>75</v>
      </c>
      <c r="G77" s="0" t="s">
        <v>429</v>
      </c>
      <c r="H77" s="0" t="s">
        <v>86</v>
      </c>
      <c r="I77" s="0" t="s">
        <v>192</v>
      </c>
      <c r="J77" s="0" t="s">
        <v>78</v>
      </c>
      <c r="K77" s="0" t="n">
        <v>1</v>
      </c>
      <c r="L77" s="0" t="n">
        <v>1</v>
      </c>
      <c r="M77" s="0" t="n">
        <v>2</v>
      </c>
      <c r="N77" s="0" t="n">
        <v>1</v>
      </c>
      <c r="O77" s="0" t="n">
        <f aca="false">SUM(K77:N77)</f>
        <v>5</v>
      </c>
      <c r="P77" s="0" t="str">
        <f aca="false">IF(O77&gt;=15,"Yes","No")</f>
        <v>No</v>
      </c>
      <c r="Q77" s="0" t="s">
        <v>46</v>
      </c>
      <c r="R77" s="2" t="n">
        <v>777000</v>
      </c>
      <c r="S77" s="3" t="n">
        <v>0</v>
      </c>
      <c r="T77" s="2" t="n">
        <f aca="false">R77*S77</f>
        <v>0</v>
      </c>
      <c r="U77" s="4" t="s">
        <v>430</v>
      </c>
      <c r="V77" s="4" t="s">
        <v>431</v>
      </c>
      <c r="W77" s="0" t="n">
        <v>39</v>
      </c>
      <c r="X77" s="4" t="s">
        <v>49</v>
      </c>
    </row>
    <row r="78" customFormat="false" ht="15" hidden="false" customHeight="false" outlineLevel="0" collapsed="false">
      <c r="A78" s="0" t="s">
        <v>432</v>
      </c>
      <c r="B78" s="0" t="s">
        <v>433</v>
      </c>
      <c r="C78" s="0" t="s">
        <v>129</v>
      </c>
      <c r="D78" s="0" t="s">
        <v>53</v>
      </c>
      <c r="E78" s="0" t="s">
        <v>105</v>
      </c>
      <c r="F78" s="0" t="s">
        <v>41</v>
      </c>
      <c r="G78" s="0" t="s">
        <v>434</v>
      </c>
      <c r="H78" s="0" t="s">
        <v>67</v>
      </c>
      <c r="I78" s="0" t="s">
        <v>435</v>
      </c>
      <c r="J78" s="0" t="s">
        <v>45</v>
      </c>
      <c r="K78" s="0" t="n">
        <v>2</v>
      </c>
      <c r="L78" s="0" t="n">
        <v>3</v>
      </c>
      <c r="M78" s="0" t="n">
        <v>2</v>
      </c>
      <c r="N78" s="0" t="n">
        <v>2</v>
      </c>
      <c r="O78" s="0" t="n">
        <f aca="false">SUM(K78:N78)</f>
        <v>9</v>
      </c>
      <c r="P78" s="0" t="str">
        <f aca="false">IF(O78&gt;=15,"Yes","No")</f>
        <v>No</v>
      </c>
      <c r="Q78" s="0" t="s">
        <v>60</v>
      </c>
      <c r="R78" s="2" t="n">
        <v>893000</v>
      </c>
      <c r="S78" s="3" t="n">
        <v>0.15</v>
      </c>
      <c r="T78" s="2" t="n">
        <f aca="false">R78*S78</f>
        <v>133950</v>
      </c>
      <c r="U78" s="4" t="s">
        <v>436</v>
      </c>
    </row>
    <row r="79" customFormat="false" ht="15" hidden="false" customHeight="false" outlineLevel="0" collapsed="false">
      <c r="A79" s="0" t="s">
        <v>437</v>
      </c>
      <c r="B79" s="0" t="s">
        <v>438</v>
      </c>
      <c r="C79" s="0" t="s">
        <v>39</v>
      </c>
      <c r="D79" s="0" t="s">
        <v>64</v>
      </c>
      <c r="E79" s="0" t="s">
        <v>92</v>
      </c>
      <c r="F79" s="0" t="s">
        <v>55</v>
      </c>
      <c r="G79" s="0" t="s">
        <v>439</v>
      </c>
      <c r="H79" s="0" t="s">
        <v>67</v>
      </c>
      <c r="I79" s="0" t="s">
        <v>440</v>
      </c>
      <c r="J79" s="0" t="s">
        <v>33</v>
      </c>
      <c r="K79" s="0" t="n">
        <v>1</v>
      </c>
      <c r="L79" s="0" t="n">
        <v>4</v>
      </c>
      <c r="M79" s="0" t="n">
        <v>1</v>
      </c>
      <c r="N79" s="0" t="n">
        <v>3</v>
      </c>
      <c r="O79" s="0" t="n">
        <f aca="false">SUM(K79:N79)</f>
        <v>9</v>
      </c>
      <c r="P79" s="0" t="str">
        <f aca="false">IF(O79&gt;=15,"Yes","No")</f>
        <v>No</v>
      </c>
      <c r="Q79" s="0" t="s">
        <v>46</v>
      </c>
      <c r="R79" s="2" t="n">
        <v>2485000</v>
      </c>
      <c r="S79" s="3" t="n">
        <v>0</v>
      </c>
      <c r="T79" s="2" t="n">
        <f aca="false">R79*S79</f>
        <v>0</v>
      </c>
      <c r="U79" s="4" t="s">
        <v>441</v>
      </c>
      <c r="V79" s="4" t="s">
        <v>442</v>
      </c>
      <c r="W79" s="0" t="n">
        <v>41</v>
      </c>
      <c r="X79" s="4" t="s">
        <v>443</v>
      </c>
    </row>
    <row r="80" customFormat="false" ht="15" hidden="false" customHeight="false" outlineLevel="0" collapsed="false">
      <c r="A80" s="0" t="s">
        <v>444</v>
      </c>
      <c r="B80" s="0" t="s">
        <v>128</v>
      </c>
      <c r="C80" s="0" t="s">
        <v>52</v>
      </c>
      <c r="D80" s="0" t="s">
        <v>53</v>
      </c>
      <c r="E80" s="0" t="s">
        <v>105</v>
      </c>
      <c r="F80" s="0" t="s">
        <v>153</v>
      </c>
      <c r="G80" s="0" t="s">
        <v>445</v>
      </c>
      <c r="H80" s="0" t="s">
        <v>86</v>
      </c>
      <c r="I80" s="0" t="s">
        <v>298</v>
      </c>
      <c r="J80" s="0" t="s">
        <v>78</v>
      </c>
      <c r="K80" s="0" t="n">
        <v>2</v>
      </c>
      <c r="L80" s="0" t="n">
        <v>3</v>
      </c>
      <c r="M80" s="0" t="n">
        <v>1</v>
      </c>
      <c r="N80" s="0" t="n">
        <v>1</v>
      </c>
      <c r="O80" s="0" t="n">
        <f aca="false">SUM(K80:N80)</f>
        <v>7</v>
      </c>
      <c r="P80" s="0" t="str">
        <f aca="false">IF(O80&gt;=15,"Yes","No")</f>
        <v>No</v>
      </c>
      <c r="Q80" s="0" t="s">
        <v>60</v>
      </c>
      <c r="R80" s="2" t="n">
        <v>754000</v>
      </c>
      <c r="S80" s="3" t="n">
        <v>0.15</v>
      </c>
      <c r="T80" s="2" t="n">
        <f aca="false">R80*S80</f>
        <v>113100</v>
      </c>
      <c r="U80" s="4" t="s">
        <v>446</v>
      </c>
    </row>
    <row r="81" customFormat="false" ht="15" hidden="false" customHeight="false" outlineLevel="0" collapsed="false">
      <c r="A81" s="0" t="s">
        <v>447</v>
      </c>
      <c r="B81" s="0" t="s">
        <v>448</v>
      </c>
      <c r="C81" s="0" t="s">
        <v>152</v>
      </c>
      <c r="D81" s="0" t="s">
        <v>27</v>
      </c>
      <c r="E81" s="0" t="s">
        <v>105</v>
      </c>
      <c r="F81" s="0" t="s">
        <v>179</v>
      </c>
      <c r="G81" s="0" t="s">
        <v>449</v>
      </c>
      <c r="H81" s="0" t="s">
        <v>86</v>
      </c>
      <c r="I81" s="0" t="s">
        <v>450</v>
      </c>
      <c r="J81" s="0" t="s">
        <v>69</v>
      </c>
      <c r="K81" s="0" t="n">
        <v>2</v>
      </c>
      <c r="L81" s="0" t="n">
        <v>1</v>
      </c>
      <c r="M81" s="0" t="n">
        <v>1</v>
      </c>
      <c r="N81" s="0" t="n">
        <v>1</v>
      </c>
      <c r="O81" s="0" t="n">
        <f aca="false">SUM(K81:N81)</f>
        <v>5</v>
      </c>
      <c r="P81" s="0" t="str">
        <f aca="false">IF(O81&gt;=15,"Yes","No")</f>
        <v>No</v>
      </c>
      <c r="Q81" s="0" t="s">
        <v>60</v>
      </c>
      <c r="R81" s="2" t="n">
        <v>241000</v>
      </c>
      <c r="S81" s="3" t="n">
        <v>0.15</v>
      </c>
      <c r="T81" s="2" t="n">
        <f aca="false">R81*S81</f>
        <v>36150</v>
      </c>
      <c r="U81" s="4" t="s">
        <v>451</v>
      </c>
    </row>
    <row r="82" customFormat="false" ht="15" hidden="false" customHeight="false" outlineLevel="0" collapsed="false">
      <c r="A82" s="0" t="s">
        <v>452</v>
      </c>
      <c r="B82" s="0" t="s">
        <v>453</v>
      </c>
      <c r="C82" s="0" t="s">
        <v>26</v>
      </c>
      <c r="D82" s="0" t="s">
        <v>53</v>
      </c>
      <c r="E82" s="0" t="s">
        <v>54</v>
      </c>
      <c r="F82" s="0" t="s">
        <v>112</v>
      </c>
      <c r="G82" s="0" t="s">
        <v>454</v>
      </c>
      <c r="H82" s="0" t="s">
        <v>57</v>
      </c>
      <c r="I82" s="0" t="s">
        <v>455</v>
      </c>
      <c r="J82" s="0" t="s">
        <v>59</v>
      </c>
      <c r="K82" s="0" t="n">
        <v>2</v>
      </c>
      <c r="L82" s="0" t="n">
        <v>1</v>
      </c>
      <c r="M82" s="0" t="n">
        <v>1</v>
      </c>
      <c r="N82" s="0" t="n">
        <v>1</v>
      </c>
      <c r="O82" s="0" t="n">
        <f aca="false">SUM(K82:N82)</f>
        <v>5</v>
      </c>
      <c r="P82" s="0" t="str">
        <f aca="false">IF(O82&gt;=15,"Yes","No")</f>
        <v>No</v>
      </c>
      <c r="Q82" s="0" t="s">
        <v>60</v>
      </c>
      <c r="R82" s="2" t="n">
        <v>504000</v>
      </c>
      <c r="S82" s="3" t="n">
        <v>0.15</v>
      </c>
      <c r="T82" s="2" t="n">
        <f aca="false">R82*S82</f>
        <v>75600</v>
      </c>
      <c r="U82" s="4" t="s">
        <v>456</v>
      </c>
    </row>
    <row r="83" customFormat="false" ht="15" hidden="false" customHeight="false" outlineLevel="0" collapsed="false">
      <c r="A83" s="0" t="s">
        <v>457</v>
      </c>
      <c r="B83" s="0" t="s">
        <v>458</v>
      </c>
      <c r="C83" s="0" t="s">
        <v>74</v>
      </c>
      <c r="D83" s="0" t="s">
        <v>27</v>
      </c>
      <c r="E83" s="0" t="s">
        <v>142</v>
      </c>
      <c r="F83" s="0" t="s">
        <v>130</v>
      </c>
      <c r="G83" s="0" t="s">
        <v>459</v>
      </c>
      <c r="H83" s="0" t="s">
        <v>43</v>
      </c>
      <c r="I83" s="0" t="s">
        <v>460</v>
      </c>
      <c r="J83" s="0" t="s">
        <v>78</v>
      </c>
      <c r="K83" s="0" t="n">
        <v>3</v>
      </c>
      <c r="L83" s="0" t="n">
        <v>2</v>
      </c>
      <c r="M83" s="0" t="n">
        <v>5</v>
      </c>
      <c r="N83" s="0" t="n">
        <v>4</v>
      </c>
      <c r="O83" s="0" t="n">
        <f aca="false">SUM(K83:N83)</f>
        <v>14</v>
      </c>
      <c r="P83" s="0" t="str">
        <f aca="false">IF(O83&gt;=15,"Yes","No")</f>
        <v>No</v>
      </c>
      <c r="Q83" s="0" t="s">
        <v>46</v>
      </c>
      <c r="R83" s="2" t="n">
        <v>236000</v>
      </c>
      <c r="S83" s="3" t="n">
        <v>0</v>
      </c>
      <c r="T83" s="2" t="n">
        <f aca="false">R83*S83</f>
        <v>0</v>
      </c>
      <c r="U83" s="4" t="s">
        <v>461</v>
      </c>
      <c r="V83" s="4" t="s">
        <v>462</v>
      </c>
      <c r="W83" s="0" t="n">
        <v>37</v>
      </c>
      <c r="X83" s="4" t="s">
        <v>49</v>
      </c>
    </row>
    <row r="84" customFormat="false" ht="15" hidden="false" customHeight="false" outlineLevel="0" collapsed="false">
      <c r="A84" s="0" t="s">
        <v>463</v>
      </c>
      <c r="B84" s="0" t="s">
        <v>464</v>
      </c>
      <c r="C84" s="0" t="s">
        <v>129</v>
      </c>
      <c r="D84" s="0" t="s">
        <v>64</v>
      </c>
      <c r="E84" s="0" t="s">
        <v>65</v>
      </c>
      <c r="F84" s="0" t="s">
        <v>41</v>
      </c>
      <c r="G84" s="0" t="s">
        <v>465</v>
      </c>
      <c r="H84" s="0" t="s">
        <v>86</v>
      </c>
      <c r="I84" s="0" t="s">
        <v>466</v>
      </c>
      <c r="J84" s="0" t="s">
        <v>69</v>
      </c>
      <c r="K84" s="0" t="n">
        <v>1</v>
      </c>
      <c r="L84" s="0" t="n">
        <v>1</v>
      </c>
      <c r="M84" s="0" t="n">
        <v>1</v>
      </c>
      <c r="N84" s="0" t="n">
        <v>3</v>
      </c>
      <c r="O84" s="0" t="n">
        <f aca="false">SUM(K84:N84)</f>
        <v>6</v>
      </c>
      <c r="P84" s="0" t="str">
        <f aca="false">IF(O84&gt;=15,"Yes","No")</f>
        <v>No</v>
      </c>
      <c r="Q84" s="0" t="s">
        <v>159</v>
      </c>
      <c r="R84" s="2" t="n">
        <v>1664000</v>
      </c>
      <c r="S84" s="3" t="n">
        <v>0.05</v>
      </c>
      <c r="T84" s="2" t="n">
        <f aca="false">R84*S84</f>
        <v>83200</v>
      </c>
      <c r="U84" s="4" t="s">
        <v>467</v>
      </c>
    </row>
    <row r="85" customFormat="false" ht="15" hidden="false" customHeight="false" outlineLevel="0" collapsed="false">
      <c r="A85" s="0" t="s">
        <v>468</v>
      </c>
      <c r="B85" s="0" t="s">
        <v>469</v>
      </c>
      <c r="C85" s="0" t="s">
        <v>26</v>
      </c>
      <c r="D85" s="0" t="s">
        <v>64</v>
      </c>
      <c r="E85" s="0" t="s">
        <v>40</v>
      </c>
      <c r="F85" s="0" t="s">
        <v>153</v>
      </c>
      <c r="G85" s="0" t="s">
        <v>470</v>
      </c>
      <c r="H85" s="0" t="s">
        <v>67</v>
      </c>
      <c r="I85" s="0" t="s">
        <v>471</v>
      </c>
      <c r="J85" s="0" t="s">
        <v>33</v>
      </c>
      <c r="K85" s="0" t="n">
        <v>5</v>
      </c>
      <c r="L85" s="0" t="n">
        <v>4</v>
      </c>
      <c r="M85" s="0" t="n">
        <v>4</v>
      </c>
      <c r="N85" s="0" t="n">
        <v>3</v>
      </c>
      <c r="O85" s="0" t="n">
        <f aca="false">SUM(K85:N85)</f>
        <v>16</v>
      </c>
      <c r="P85" s="0" t="str">
        <f aca="false">IF(O85&gt;=15,"Yes","No")</f>
        <v>Yes</v>
      </c>
      <c r="Q85" s="0" t="s">
        <v>46</v>
      </c>
      <c r="R85" s="2" t="n">
        <v>2319000</v>
      </c>
      <c r="S85" s="3" t="n">
        <v>0</v>
      </c>
      <c r="T85" s="2" t="n">
        <f aca="false">R85*S85</f>
        <v>0</v>
      </c>
      <c r="U85" s="4" t="s">
        <v>315</v>
      </c>
      <c r="V85" s="4" t="s">
        <v>359</v>
      </c>
      <c r="W85" s="0" t="n">
        <v>16</v>
      </c>
      <c r="X85" s="4" t="s">
        <v>326</v>
      </c>
    </row>
    <row r="86" customFormat="false" ht="15" hidden="false" customHeight="false" outlineLevel="0" collapsed="false">
      <c r="A86" s="0" t="s">
        <v>472</v>
      </c>
      <c r="B86" s="0" t="s">
        <v>473</v>
      </c>
      <c r="C86" s="0" t="s">
        <v>264</v>
      </c>
      <c r="D86" s="0" t="s">
        <v>27</v>
      </c>
      <c r="E86" s="0" t="s">
        <v>142</v>
      </c>
      <c r="F86" s="0" t="s">
        <v>130</v>
      </c>
      <c r="G86" s="0" t="s">
        <v>474</v>
      </c>
      <c r="H86" s="0" t="s">
        <v>86</v>
      </c>
      <c r="I86" s="0" t="s">
        <v>475</v>
      </c>
      <c r="J86" s="0" t="s">
        <v>69</v>
      </c>
      <c r="K86" s="0" t="n">
        <v>1</v>
      </c>
      <c r="L86" s="0" t="n">
        <v>2</v>
      </c>
      <c r="M86" s="0" t="n">
        <v>2</v>
      </c>
      <c r="N86" s="0" t="n">
        <v>1</v>
      </c>
      <c r="O86" s="0" t="n">
        <f aca="false">SUM(K86:N86)</f>
        <v>6</v>
      </c>
      <c r="P86" s="0" t="str">
        <f aca="false">IF(O86&gt;=15,"Yes","No")</f>
        <v>No</v>
      </c>
      <c r="Q86" s="0" t="s">
        <v>159</v>
      </c>
      <c r="R86" s="2" t="n">
        <v>162000</v>
      </c>
      <c r="S86" s="3" t="n">
        <v>0.05</v>
      </c>
      <c r="T86" s="2" t="n">
        <f aca="false">R86*S86</f>
        <v>8100</v>
      </c>
      <c r="U86" s="4" t="s">
        <v>476</v>
      </c>
    </row>
    <row r="87" customFormat="false" ht="15" hidden="false" customHeight="false" outlineLevel="0" collapsed="false">
      <c r="A87" s="0" t="s">
        <v>477</v>
      </c>
      <c r="B87" s="0" t="s">
        <v>478</v>
      </c>
      <c r="C87" s="0" t="s">
        <v>74</v>
      </c>
      <c r="D87" s="0" t="s">
        <v>64</v>
      </c>
      <c r="E87" s="0" t="s">
        <v>84</v>
      </c>
      <c r="F87" s="0" t="s">
        <v>179</v>
      </c>
      <c r="G87" s="0" t="s">
        <v>479</v>
      </c>
      <c r="H87" s="0" t="s">
        <v>67</v>
      </c>
      <c r="I87" s="0" t="s">
        <v>298</v>
      </c>
      <c r="J87" s="0" t="s">
        <v>78</v>
      </c>
      <c r="K87" s="0" t="n">
        <v>3</v>
      </c>
      <c r="L87" s="0" t="n">
        <v>3</v>
      </c>
      <c r="M87" s="0" t="n">
        <v>2</v>
      </c>
      <c r="N87" s="0" t="n">
        <v>4</v>
      </c>
      <c r="O87" s="0" t="n">
        <f aca="false">SUM(K87:N87)</f>
        <v>12</v>
      </c>
      <c r="P87" s="0" t="str">
        <f aca="false">IF(O87&gt;=15,"Yes","No")</f>
        <v>No</v>
      </c>
      <c r="Q87" s="0" t="s">
        <v>60</v>
      </c>
      <c r="R87" s="2" t="n">
        <v>2884000</v>
      </c>
      <c r="S87" s="3" t="n">
        <v>0.15</v>
      </c>
      <c r="T87" s="2" t="n">
        <f aca="false">R87*S87</f>
        <v>432600</v>
      </c>
      <c r="U87" s="4" t="s">
        <v>480</v>
      </c>
    </row>
    <row r="88" customFormat="false" ht="15" hidden="false" customHeight="false" outlineLevel="0" collapsed="false">
      <c r="A88" s="0" t="s">
        <v>481</v>
      </c>
      <c r="B88" s="0" t="s">
        <v>482</v>
      </c>
      <c r="C88" s="0" t="s">
        <v>26</v>
      </c>
      <c r="D88" s="0" t="s">
        <v>64</v>
      </c>
      <c r="E88" s="0" t="s">
        <v>119</v>
      </c>
      <c r="F88" s="0" t="s">
        <v>55</v>
      </c>
      <c r="G88" s="0" t="s">
        <v>483</v>
      </c>
      <c r="H88" s="0" t="s">
        <v>57</v>
      </c>
      <c r="I88" s="0" t="s">
        <v>484</v>
      </c>
      <c r="J88" s="0" t="s">
        <v>33</v>
      </c>
      <c r="K88" s="0" t="n">
        <v>3</v>
      </c>
      <c r="L88" s="0" t="n">
        <v>4</v>
      </c>
      <c r="M88" s="0" t="n">
        <v>1</v>
      </c>
      <c r="N88" s="0" t="n">
        <v>1</v>
      </c>
      <c r="O88" s="0" t="n">
        <f aca="false">SUM(K88:N88)</f>
        <v>9</v>
      </c>
      <c r="P88" s="0" t="str">
        <f aca="false">IF(O88&gt;=15,"Yes","No")</f>
        <v>No</v>
      </c>
      <c r="Q88" s="0" t="s">
        <v>60</v>
      </c>
      <c r="R88" s="2" t="n">
        <v>2953000</v>
      </c>
      <c r="S88" s="3" t="n">
        <v>0.15</v>
      </c>
      <c r="T88" s="2" t="n">
        <f aca="false">R88*S88</f>
        <v>442950</v>
      </c>
      <c r="U88" s="4" t="s">
        <v>485</v>
      </c>
    </row>
    <row r="89" customFormat="false" ht="15" hidden="false" customHeight="false" outlineLevel="0" collapsed="false">
      <c r="A89" s="0" t="s">
        <v>486</v>
      </c>
      <c r="B89" s="0" t="s">
        <v>487</v>
      </c>
      <c r="C89" s="0" t="s">
        <v>26</v>
      </c>
      <c r="D89" s="0" t="s">
        <v>27</v>
      </c>
      <c r="E89" s="0" t="s">
        <v>28</v>
      </c>
      <c r="F89" s="0" t="s">
        <v>179</v>
      </c>
      <c r="G89" s="0" t="s">
        <v>488</v>
      </c>
      <c r="H89" s="0" t="s">
        <v>248</v>
      </c>
      <c r="I89" s="0" t="s">
        <v>489</v>
      </c>
      <c r="J89" s="0" t="s">
        <v>33</v>
      </c>
      <c r="K89" s="0" t="n">
        <v>2</v>
      </c>
      <c r="L89" s="0" t="n">
        <v>3</v>
      </c>
      <c r="M89" s="0" t="n">
        <v>3</v>
      </c>
      <c r="N89" s="0" t="n">
        <v>2</v>
      </c>
      <c r="O89" s="0" t="n">
        <f aca="false">SUM(K89:N89)</f>
        <v>10</v>
      </c>
      <c r="P89" s="0" t="str">
        <f aca="false">IF(O89&gt;=15,"Yes","No")</f>
        <v>No</v>
      </c>
      <c r="Q89" s="0" t="s">
        <v>60</v>
      </c>
      <c r="R89" s="2" t="n">
        <v>195000</v>
      </c>
      <c r="S89" s="3" t="n">
        <v>0.15</v>
      </c>
      <c r="T89" s="2" t="n">
        <f aca="false">R89*S89</f>
        <v>29250</v>
      </c>
      <c r="U89" s="4" t="s">
        <v>490</v>
      </c>
    </row>
    <row r="90" customFormat="false" ht="15" hidden="false" customHeight="false" outlineLevel="0" collapsed="false">
      <c r="A90" s="0" t="s">
        <v>491</v>
      </c>
      <c r="B90" s="0" t="s">
        <v>453</v>
      </c>
      <c r="C90" s="0" t="s">
        <v>39</v>
      </c>
      <c r="D90" s="0" t="s">
        <v>53</v>
      </c>
      <c r="E90" s="0" t="s">
        <v>92</v>
      </c>
      <c r="F90" s="0" t="s">
        <v>130</v>
      </c>
      <c r="G90" s="0" t="s">
        <v>492</v>
      </c>
      <c r="H90" s="0" t="s">
        <v>86</v>
      </c>
      <c r="I90" s="0" t="s">
        <v>493</v>
      </c>
      <c r="J90" s="0" t="s">
        <v>45</v>
      </c>
      <c r="K90" s="0" t="n">
        <v>1</v>
      </c>
      <c r="L90" s="0" t="n">
        <v>1</v>
      </c>
      <c r="M90" s="0" t="n">
        <v>2</v>
      </c>
      <c r="N90" s="0" t="n">
        <v>1</v>
      </c>
      <c r="O90" s="0" t="n">
        <f aca="false">SUM(K90:N90)</f>
        <v>5</v>
      </c>
      <c r="P90" s="0" t="str">
        <f aca="false">IF(O90&gt;=15,"Yes","No")</f>
        <v>No</v>
      </c>
      <c r="Q90" s="0" t="s">
        <v>46</v>
      </c>
      <c r="R90" s="2" t="n">
        <v>653000</v>
      </c>
      <c r="S90" s="3" t="n">
        <v>0</v>
      </c>
      <c r="T90" s="2" t="n">
        <f aca="false">R90*S90</f>
        <v>0</v>
      </c>
      <c r="U90" s="4" t="s">
        <v>494</v>
      </c>
      <c r="V90" s="4" t="s">
        <v>495</v>
      </c>
      <c r="W90" s="0" t="n">
        <v>12</v>
      </c>
      <c r="X90" s="4" t="s">
        <v>310</v>
      </c>
    </row>
    <row r="91" customFormat="false" ht="15" hidden="false" customHeight="false" outlineLevel="0" collapsed="false">
      <c r="A91" s="0" t="s">
        <v>496</v>
      </c>
      <c r="B91" s="0" t="s">
        <v>497</v>
      </c>
      <c r="C91" s="0" t="s">
        <v>74</v>
      </c>
      <c r="D91" s="0" t="s">
        <v>53</v>
      </c>
      <c r="E91" s="0" t="s">
        <v>322</v>
      </c>
      <c r="F91" s="0" t="s">
        <v>112</v>
      </c>
      <c r="G91" s="0" t="s">
        <v>498</v>
      </c>
      <c r="H91" s="0" t="s">
        <v>43</v>
      </c>
      <c r="I91" s="0" t="s">
        <v>499</v>
      </c>
      <c r="J91" s="0" t="s">
        <v>33</v>
      </c>
      <c r="K91" s="0" t="n">
        <v>4</v>
      </c>
      <c r="L91" s="0" t="n">
        <v>3</v>
      </c>
      <c r="M91" s="0" t="n">
        <v>3</v>
      </c>
      <c r="N91" s="0" t="n">
        <v>3</v>
      </c>
      <c r="O91" s="0" t="n">
        <f aca="false">SUM(K91:N91)</f>
        <v>13</v>
      </c>
      <c r="P91" s="0" t="str">
        <f aca="false">IF(O91&gt;=15,"Yes","No")</f>
        <v>No</v>
      </c>
      <c r="Q91" s="0" t="s">
        <v>159</v>
      </c>
      <c r="R91" s="2" t="n">
        <v>540000</v>
      </c>
      <c r="S91" s="3" t="n">
        <v>0.05</v>
      </c>
      <c r="T91" s="2" t="n">
        <f aca="false">R91*S91</f>
        <v>27000</v>
      </c>
      <c r="U91" s="4" t="s">
        <v>500</v>
      </c>
    </row>
    <row r="92" customFormat="false" ht="15" hidden="false" customHeight="false" outlineLevel="0" collapsed="false">
      <c r="A92" s="0" t="s">
        <v>501</v>
      </c>
      <c r="B92" s="0" t="s">
        <v>502</v>
      </c>
      <c r="C92" s="0" t="s">
        <v>52</v>
      </c>
      <c r="D92" s="0" t="s">
        <v>27</v>
      </c>
      <c r="E92" s="0" t="s">
        <v>54</v>
      </c>
      <c r="F92" s="0" t="s">
        <v>130</v>
      </c>
      <c r="G92" s="0" t="s">
        <v>503</v>
      </c>
      <c r="H92" s="0" t="s">
        <v>67</v>
      </c>
      <c r="I92" s="0" t="s">
        <v>504</v>
      </c>
      <c r="J92" s="0" t="s">
        <v>78</v>
      </c>
      <c r="K92" s="0" t="n">
        <v>2</v>
      </c>
      <c r="L92" s="0" t="n">
        <v>4</v>
      </c>
      <c r="M92" s="0" t="n">
        <v>3</v>
      </c>
      <c r="N92" s="0" t="n">
        <v>4</v>
      </c>
      <c r="O92" s="0" t="n">
        <f aca="false">SUM(K92:N92)</f>
        <v>13</v>
      </c>
      <c r="P92" s="0" t="str">
        <f aca="false">IF(O92&gt;=15,"Yes","No")</f>
        <v>No</v>
      </c>
      <c r="Q92" s="0" t="s">
        <v>159</v>
      </c>
      <c r="R92" s="2" t="n">
        <v>153000</v>
      </c>
      <c r="S92" s="3" t="n">
        <v>0.05</v>
      </c>
      <c r="T92" s="2" t="n">
        <f aca="false">R92*S92</f>
        <v>7650</v>
      </c>
      <c r="U92" s="4" t="s">
        <v>490</v>
      </c>
    </row>
    <row r="93" customFormat="false" ht="15" hidden="false" customHeight="false" outlineLevel="0" collapsed="false">
      <c r="A93" s="0" t="s">
        <v>505</v>
      </c>
      <c r="B93" s="0" t="s">
        <v>506</v>
      </c>
      <c r="C93" s="0" t="s">
        <v>26</v>
      </c>
      <c r="D93" s="0" t="s">
        <v>53</v>
      </c>
      <c r="E93" s="0" t="s">
        <v>54</v>
      </c>
      <c r="F93" s="0" t="s">
        <v>179</v>
      </c>
      <c r="G93" s="0" t="s">
        <v>507</v>
      </c>
      <c r="H93" s="0" t="s">
        <v>43</v>
      </c>
      <c r="I93" s="0" t="s">
        <v>508</v>
      </c>
      <c r="J93" s="0" t="s">
        <v>59</v>
      </c>
      <c r="K93" s="0" t="n">
        <v>5</v>
      </c>
      <c r="L93" s="0" t="n">
        <v>5</v>
      </c>
      <c r="M93" s="0" t="n">
        <v>4</v>
      </c>
      <c r="N93" s="0" t="n">
        <v>4</v>
      </c>
      <c r="O93" s="0" t="n">
        <f aca="false">SUM(K93:N93)</f>
        <v>18</v>
      </c>
      <c r="P93" s="0" t="str">
        <f aca="false">IF(O93&gt;=15,"Yes","No")</f>
        <v>Yes</v>
      </c>
      <c r="Q93" s="0" t="s">
        <v>46</v>
      </c>
      <c r="R93" s="2" t="n">
        <v>616000</v>
      </c>
      <c r="S93" s="3" t="n">
        <v>0</v>
      </c>
      <c r="T93" s="2" t="n">
        <f aca="false">R93*S93</f>
        <v>0</v>
      </c>
      <c r="U93" s="4" t="s">
        <v>414</v>
      </c>
      <c r="V93" s="4" t="s">
        <v>509</v>
      </c>
      <c r="W93" s="0" t="n">
        <v>22</v>
      </c>
      <c r="X93" s="4" t="s">
        <v>326</v>
      </c>
    </row>
    <row r="94" customFormat="false" ht="15" hidden="false" customHeight="false" outlineLevel="0" collapsed="false">
      <c r="A94" s="0" t="s">
        <v>510</v>
      </c>
      <c r="B94" s="0" t="s">
        <v>277</v>
      </c>
      <c r="C94" s="0" t="s">
        <v>39</v>
      </c>
      <c r="D94" s="0" t="s">
        <v>27</v>
      </c>
      <c r="E94" s="0" t="s">
        <v>84</v>
      </c>
      <c r="F94" s="0" t="s">
        <v>29</v>
      </c>
      <c r="G94" s="0" t="s">
        <v>278</v>
      </c>
      <c r="H94" s="0" t="s">
        <v>57</v>
      </c>
      <c r="I94" s="0" t="s">
        <v>511</v>
      </c>
      <c r="J94" s="0" t="s">
        <v>78</v>
      </c>
      <c r="K94" s="0" t="n">
        <v>5</v>
      </c>
      <c r="L94" s="0" t="n">
        <v>1</v>
      </c>
      <c r="M94" s="0" t="n">
        <v>3</v>
      </c>
      <c r="N94" s="0" t="n">
        <v>2</v>
      </c>
      <c r="O94" s="0" t="n">
        <f aca="false">SUM(K94:N94)</f>
        <v>11</v>
      </c>
      <c r="P94" s="0" t="str">
        <f aca="false">IF(O94&gt;=15,"Yes","No")</f>
        <v>No</v>
      </c>
      <c r="Q94" s="0" t="s">
        <v>115</v>
      </c>
      <c r="R94" s="2" t="n">
        <v>217000</v>
      </c>
      <c r="S94" s="3" t="n">
        <v>0.35</v>
      </c>
      <c r="T94" s="2" t="n">
        <f aca="false">R94*S94</f>
        <v>75950</v>
      </c>
      <c r="U94" s="4" t="s">
        <v>254</v>
      </c>
    </row>
    <row r="95" customFormat="false" ht="15" hidden="false" customHeight="false" outlineLevel="0" collapsed="false">
      <c r="A95" s="0" t="s">
        <v>512</v>
      </c>
      <c r="B95" s="0" t="s">
        <v>513</v>
      </c>
      <c r="C95" s="0" t="s">
        <v>26</v>
      </c>
      <c r="D95" s="0" t="s">
        <v>53</v>
      </c>
      <c r="E95" s="0" t="s">
        <v>65</v>
      </c>
      <c r="F95" s="0" t="s">
        <v>179</v>
      </c>
      <c r="G95" s="0" t="s">
        <v>514</v>
      </c>
      <c r="H95" s="0" t="s">
        <v>67</v>
      </c>
      <c r="I95" s="0" t="s">
        <v>515</v>
      </c>
      <c r="J95" s="0" t="s">
        <v>59</v>
      </c>
      <c r="K95" s="0" t="n">
        <v>3</v>
      </c>
      <c r="L95" s="0" t="n">
        <v>4</v>
      </c>
      <c r="M95" s="0" t="n">
        <v>1</v>
      </c>
      <c r="N95" s="0" t="n">
        <v>3</v>
      </c>
      <c r="O95" s="0" t="n">
        <f aca="false">SUM(K95:N95)</f>
        <v>11</v>
      </c>
      <c r="P95" s="0" t="str">
        <f aca="false">IF(O95&gt;=15,"Yes","No")</f>
        <v>No</v>
      </c>
      <c r="Q95" s="0" t="s">
        <v>60</v>
      </c>
      <c r="R95" s="2" t="n">
        <v>620000</v>
      </c>
      <c r="S95" s="3" t="n">
        <v>0.15</v>
      </c>
      <c r="T95" s="2" t="n">
        <f aca="false">R95*S95</f>
        <v>93000</v>
      </c>
      <c r="U95" s="4" t="s">
        <v>197</v>
      </c>
    </row>
    <row r="96" customFormat="false" ht="15" hidden="false" customHeight="false" outlineLevel="0" collapsed="false">
      <c r="A96" s="0" t="s">
        <v>516</v>
      </c>
      <c r="B96" s="0" t="s">
        <v>517</v>
      </c>
      <c r="C96" s="0" t="s">
        <v>152</v>
      </c>
      <c r="D96" s="0" t="s">
        <v>27</v>
      </c>
      <c r="E96" s="0" t="s">
        <v>84</v>
      </c>
      <c r="F96" s="0" t="s">
        <v>29</v>
      </c>
      <c r="G96" s="0" t="s">
        <v>518</v>
      </c>
      <c r="H96" s="0" t="s">
        <v>67</v>
      </c>
      <c r="I96" s="0" t="s">
        <v>519</v>
      </c>
      <c r="J96" s="0" t="s">
        <v>69</v>
      </c>
      <c r="K96" s="0" t="n">
        <v>3</v>
      </c>
      <c r="L96" s="0" t="n">
        <v>2</v>
      </c>
      <c r="M96" s="0" t="n">
        <v>2</v>
      </c>
      <c r="N96" s="0" t="n">
        <v>4</v>
      </c>
      <c r="O96" s="0" t="n">
        <f aca="false">SUM(K96:N96)</f>
        <v>11</v>
      </c>
      <c r="P96" s="0" t="str">
        <f aca="false">IF(O96&gt;=15,"Yes","No")</f>
        <v>No</v>
      </c>
      <c r="Q96" s="0" t="s">
        <v>46</v>
      </c>
      <c r="R96" s="2" t="n">
        <v>191000</v>
      </c>
      <c r="S96" s="3" t="n">
        <v>0</v>
      </c>
      <c r="T96" s="2" t="n">
        <f aca="false">R96*S96</f>
        <v>0</v>
      </c>
      <c r="U96" s="4" t="s">
        <v>520</v>
      </c>
      <c r="V96" s="4" t="s">
        <v>475</v>
      </c>
      <c r="W96" s="0" t="n">
        <v>16</v>
      </c>
      <c r="X96" s="4" t="s">
        <v>326</v>
      </c>
    </row>
    <row r="97" customFormat="false" ht="15" hidden="false" customHeight="false" outlineLevel="0" collapsed="false">
      <c r="A97" s="0" t="s">
        <v>521</v>
      </c>
      <c r="B97" s="0" t="s">
        <v>162</v>
      </c>
      <c r="C97" s="0" t="s">
        <v>52</v>
      </c>
      <c r="D97" s="0" t="s">
        <v>27</v>
      </c>
      <c r="E97" s="0" t="s">
        <v>65</v>
      </c>
      <c r="F97" s="0" t="s">
        <v>55</v>
      </c>
      <c r="G97" s="0" t="s">
        <v>522</v>
      </c>
      <c r="H97" s="0" t="s">
        <v>67</v>
      </c>
      <c r="I97" s="0" t="s">
        <v>393</v>
      </c>
      <c r="J97" s="0" t="s">
        <v>33</v>
      </c>
      <c r="K97" s="0" t="n">
        <v>4</v>
      </c>
      <c r="L97" s="0" t="n">
        <v>3</v>
      </c>
      <c r="M97" s="0" t="n">
        <v>1</v>
      </c>
      <c r="N97" s="0" t="n">
        <v>3</v>
      </c>
      <c r="O97" s="0" t="n">
        <f aca="false">SUM(K97:N97)</f>
        <v>11</v>
      </c>
      <c r="P97" s="0" t="str">
        <f aca="false">IF(O97&gt;=15,"Yes","No")</f>
        <v>No</v>
      </c>
      <c r="Q97" s="0" t="s">
        <v>60</v>
      </c>
      <c r="R97" s="2" t="n">
        <v>169000</v>
      </c>
      <c r="S97" s="3" t="n">
        <v>0.15</v>
      </c>
      <c r="T97" s="2" t="n">
        <f aca="false">R97*S97</f>
        <v>25350</v>
      </c>
      <c r="U97" s="4" t="s">
        <v>523</v>
      </c>
    </row>
    <row r="98" customFormat="false" ht="15" hidden="false" customHeight="false" outlineLevel="0" collapsed="false">
      <c r="A98" s="0" t="s">
        <v>524</v>
      </c>
      <c r="B98" s="0" t="s">
        <v>525</v>
      </c>
      <c r="C98" s="0" t="s">
        <v>39</v>
      </c>
      <c r="D98" s="0" t="s">
        <v>53</v>
      </c>
      <c r="E98" s="0" t="s">
        <v>178</v>
      </c>
      <c r="F98" s="0" t="s">
        <v>55</v>
      </c>
      <c r="G98" s="0" t="s">
        <v>526</v>
      </c>
      <c r="H98" s="0" t="s">
        <v>248</v>
      </c>
      <c r="I98" s="0" t="s">
        <v>207</v>
      </c>
      <c r="J98" s="0" t="s">
        <v>59</v>
      </c>
      <c r="K98" s="0" t="n">
        <v>4</v>
      </c>
      <c r="L98" s="0" t="n">
        <v>4</v>
      </c>
      <c r="M98" s="0" t="n">
        <v>3</v>
      </c>
      <c r="N98" s="0" t="n">
        <v>2</v>
      </c>
      <c r="O98" s="0" t="n">
        <f aca="false">SUM(K98:N98)</f>
        <v>13</v>
      </c>
      <c r="P98" s="0" t="str">
        <f aca="false">IF(O98&gt;=15,"Yes","No")</f>
        <v>No</v>
      </c>
      <c r="Q98" s="0" t="s">
        <v>60</v>
      </c>
      <c r="R98" s="2" t="n">
        <v>825000</v>
      </c>
      <c r="S98" s="3" t="n">
        <v>0.15</v>
      </c>
      <c r="T98" s="2" t="n">
        <f aca="false">R98*S98</f>
        <v>123750</v>
      </c>
      <c r="U98" s="4" t="s">
        <v>527</v>
      </c>
    </row>
    <row r="99" customFormat="false" ht="15" hidden="false" customHeight="false" outlineLevel="0" collapsed="false">
      <c r="A99" s="0" t="s">
        <v>528</v>
      </c>
      <c r="B99" s="0" t="s">
        <v>118</v>
      </c>
      <c r="C99" s="0" t="s">
        <v>39</v>
      </c>
      <c r="D99" s="0" t="s">
        <v>53</v>
      </c>
      <c r="E99" s="0" t="s">
        <v>119</v>
      </c>
      <c r="F99" s="0" t="s">
        <v>112</v>
      </c>
      <c r="G99" s="0" t="s">
        <v>120</v>
      </c>
      <c r="H99" s="0" t="s">
        <v>57</v>
      </c>
      <c r="I99" s="0" t="s">
        <v>529</v>
      </c>
      <c r="J99" s="0" t="s">
        <v>59</v>
      </c>
      <c r="K99" s="0" t="n">
        <v>3</v>
      </c>
      <c r="L99" s="0" t="n">
        <v>4</v>
      </c>
      <c r="M99" s="0" t="n">
        <v>2</v>
      </c>
      <c r="N99" s="0" t="n">
        <v>3</v>
      </c>
      <c r="O99" s="0" t="n">
        <f aca="false">SUM(K99:N99)</f>
        <v>12</v>
      </c>
      <c r="P99" s="0" t="str">
        <f aca="false">IF(O99&gt;=15,"Yes","No")</f>
        <v>No</v>
      </c>
      <c r="Q99" s="0" t="s">
        <v>115</v>
      </c>
      <c r="R99" s="2" t="n">
        <v>517000</v>
      </c>
      <c r="S99" s="3" t="n">
        <v>0.35</v>
      </c>
      <c r="T99" s="2" t="n">
        <f aca="false">R99*S99</f>
        <v>180950</v>
      </c>
      <c r="U99" s="4" t="s">
        <v>71</v>
      </c>
    </row>
    <row r="100" customFormat="false" ht="15" hidden="false" customHeight="false" outlineLevel="0" collapsed="false">
      <c r="A100" s="0" t="s">
        <v>530</v>
      </c>
      <c r="B100" s="0" t="s">
        <v>354</v>
      </c>
      <c r="C100" s="0" t="s">
        <v>184</v>
      </c>
      <c r="D100" s="0" t="s">
        <v>27</v>
      </c>
      <c r="E100" s="0" t="s">
        <v>105</v>
      </c>
      <c r="F100" s="0" t="s">
        <v>112</v>
      </c>
      <c r="G100" s="0" t="s">
        <v>449</v>
      </c>
      <c r="H100" s="0" t="s">
        <v>31</v>
      </c>
      <c r="I100" s="0" t="s">
        <v>531</v>
      </c>
      <c r="J100" s="0" t="s">
        <v>78</v>
      </c>
      <c r="K100" s="0" t="n">
        <v>2</v>
      </c>
      <c r="L100" s="0" t="n">
        <v>4</v>
      </c>
      <c r="M100" s="0" t="n">
        <v>5</v>
      </c>
      <c r="N100" s="0" t="n">
        <v>2</v>
      </c>
      <c r="O100" s="0" t="n">
        <f aca="false">SUM(K100:N100)</f>
        <v>13</v>
      </c>
      <c r="P100" s="0" t="str">
        <f aca="false">IF(O100&gt;=15,"Yes","No")</f>
        <v>No</v>
      </c>
      <c r="Q100" s="0" t="s">
        <v>115</v>
      </c>
      <c r="R100" s="2" t="n">
        <v>153000</v>
      </c>
      <c r="S100" s="3" t="n">
        <v>0.35</v>
      </c>
      <c r="T100" s="2" t="n">
        <f aca="false">R100*S100</f>
        <v>53550</v>
      </c>
      <c r="U100" s="4" t="s">
        <v>101</v>
      </c>
    </row>
    <row r="101" customFormat="false" ht="15" hidden="false" customHeight="false" outlineLevel="0" collapsed="false">
      <c r="A101" s="0" t="s">
        <v>532</v>
      </c>
      <c r="B101" s="0" t="s">
        <v>141</v>
      </c>
      <c r="C101" s="0" t="s">
        <v>26</v>
      </c>
      <c r="D101" s="0" t="s">
        <v>27</v>
      </c>
      <c r="E101" s="0" t="s">
        <v>105</v>
      </c>
      <c r="F101" s="0" t="s">
        <v>153</v>
      </c>
      <c r="G101" s="0" t="s">
        <v>533</v>
      </c>
      <c r="H101" s="0" t="s">
        <v>86</v>
      </c>
      <c r="I101" s="0" t="s">
        <v>255</v>
      </c>
      <c r="J101" s="0" t="s">
        <v>69</v>
      </c>
      <c r="K101" s="0" t="n">
        <v>3</v>
      </c>
      <c r="L101" s="0" t="n">
        <v>3</v>
      </c>
      <c r="M101" s="0" t="n">
        <v>2</v>
      </c>
      <c r="N101" s="0" t="n">
        <v>2</v>
      </c>
      <c r="O101" s="0" t="n">
        <f aca="false">SUM(K101:N101)</f>
        <v>10</v>
      </c>
      <c r="P101" s="0" t="str">
        <f aca="false">IF(O101&gt;=15,"Yes","No")</f>
        <v>No</v>
      </c>
      <c r="Q101" s="0" t="s">
        <v>70</v>
      </c>
      <c r="R101" s="2" t="n">
        <v>183000</v>
      </c>
      <c r="S101" s="3" t="n">
        <v>0.55</v>
      </c>
      <c r="T101" s="2" t="n">
        <f aca="false">R101*S101</f>
        <v>100650</v>
      </c>
      <c r="U101" s="4" t="s">
        <v>534</v>
      </c>
    </row>
    <row r="102" customFormat="false" ht="15" hidden="false" customHeight="false" outlineLevel="0" collapsed="false">
      <c r="A102" s="0" t="s">
        <v>535</v>
      </c>
      <c r="B102" s="0" t="s">
        <v>482</v>
      </c>
      <c r="C102" s="0" t="s">
        <v>74</v>
      </c>
      <c r="D102" s="0" t="s">
        <v>64</v>
      </c>
      <c r="E102" s="0" t="s">
        <v>119</v>
      </c>
      <c r="F102" s="0" t="s">
        <v>130</v>
      </c>
      <c r="G102" s="0" t="s">
        <v>483</v>
      </c>
      <c r="H102" s="0" t="s">
        <v>57</v>
      </c>
      <c r="I102" s="0" t="s">
        <v>536</v>
      </c>
      <c r="J102" s="0" t="s">
        <v>33</v>
      </c>
      <c r="K102" s="0" t="n">
        <v>2</v>
      </c>
      <c r="L102" s="0" t="n">
        <v>1</v>
      </c>
      <c r="M102" s="0" t="n">
        <v>1</v>
      </c>
      <c r="N102" s="0" t="n">
        <v>2</v>
      </c>
      <c r="O102" s="0" t="n">
        <f aca="false">SUM(K102:N102)</f>
        <v>6</v>
      </c>
      <c r="P102" s="0" t="str">
        <f aca="false">IF(O102&gt;=15,"Yes","No")</f>
        <v>No</v>
      </c>
      <c r="Q102" s="0" t="s">
        <v>60</v>
      </c>
      <c r="R102" s="2" t="n">
        <v>2663000</v>
      </c>
      <c r="S102" s="3" t="n">
        <v>0.15</v>
      </c>
      <c r="T102" s="2" t="n">
        <f aca="false">R102*S102</f>
        <v>399450</v>
      </c>
      <c r="U102" s="4" t="s">
        <v>406</v>
      </c>
    </row>
    <row r="103" customFormat="false" ht="15" hidden="false" customHeight="false" outlineLevel="0" collapsed="false">
      <c r="A103" s="0" t="s">
        <v>537</v>
      </c>
      <c r="B103" s="0" t="s">
        <v>538</v>
      </c>
      <c r="C103" s="0" t="s">
        <v>152</v>
      </c>
      <c r="D103" s="0" t="s">
        <v>27</v>
      </c>
      <c r="E103" s="0" t="s">
        <v>84</v>
      </c>
      <c r="F103" s="0" t="s">
        <v>41</v>
      </c>
      <c r="G103" s="0" t="s">
        <v>539</v>
      </c>
      <c r="H103" s="0" t="s">
        <v>86</v>
      </c>
      <c r="I103" s="0" t="s">
        <v>430</v>
      </c>
      <c r="J103" s="0" t="s">
        <v>69</v>
      </c>
      <c r="K103" s="0" t="n">
        <v>1</v>
      </c>
      <c r="L103" s="0" t="n">
        <v>1</v>
      </c>
      <c r="M103" s="0" t="n">
        <v>2</v>
      </c>
      <c r="N103" s="0" t="n">
        <v>3</v>
      </c>
      <c r="O103" s="0" t="n">
        <f aca="false">SUM(K103:N103)</f>
        <v>7</v>
      </c>
      <c r="P103" s="0" t="str">
        <f aca="false">IF(O103&gt;=15,"Yes","No")</f>
        <v>No</v>
      </c>
      <c r="Q103" s="0" t="s">
        <v>60</v>
      </c>
      <c r="R103" s="2" t="n">
        <v>166000</v>
      </c>
      <c r="S103" s="3" t="n">
        <v>0.15</v>
      </c>
      <c r="T103" s="2" t="n">
        <f aca="false">R103*S103</f>
        <v>24900</v>
      </c>
      <c r="U103" s="4" t="s">
        <v>540</v>
      </c>
    </row>
    <row r="104" customFormat="false" ht="15" hidden="false" customHeight="false" outlineLevel="0" collapsed="false">
      <c r="A104" s="0" t="s">
        <v>541</v>
      </c>
      <c r="B104" s="0" t="s">
        <v>542</v>
      </c>
      <c r="C104" s="0" t="s">
        <v>39</v>
      </c>
      <c r="D104" s="0" t="s">
        <v>64</v>
      </c>
      <c r="E104" s="0" t="s">
        <v>195</v>
      </c>
      <c r="F104" s="0" t="s">
        <v>41</v>
      </c>
      <c r="G104" s="0" t="s">
        <v>543</v>
      </c>
      <c r="H104" s="0" t="s">
        <v>43</v>
      </c>
      <c r="I104" s="0" t="s">
        <v>544</v>
      </c>
      <c r="J104" s="0" t="s">
        <v>45</v>
      </c>
      <c r="K104" s="0" t="n">
        <v>5</v>
      </c>
      <c r="L104" s="0" t="n">
        <v>4</v>
      </c>
      <c r="M104" s="0" t="n">
        <v>3</v>
      </c>
      <c r="N104" s="0" t="n">
        <v>4</v>
      </c>
      <c r="O104" s="0" t="n">
        <f aca="false">SUM(K104:N104)</f>
        <v>16</v>
      </c>
      <c r="P104" s="0" t="str">
        <f aca="false">IF(O104&gt;=15,"Yes","No")</f>
        <v>Yes</v>
      </c>
      <c r="Q104" s="0" t="s">
        <v>159</v>
      </c>
      <c r="R104" s="2" t="n">
        <v>2794000</v>
      </c>
      <c r="S104" s="3" t="n">
        <v>0.05</v>
      </c>
      <c r="T104" s="2" t="n">
        <f aca="false">R104*S104</f>
        <v>139700</v>
      </c>
      <c r="U104" s="4" t="s">
        <v>202</v>
      </c>
    </row>
    <row r="105" customFormat="false" ht="15" hidden="false" customHeight="false" outlineLevel="0" collapsed="false">
      <c r="A105" s="0" t="s">
        <v>545</v>
      </c>
      <c r="B105" s="0" t="s">
        <v>291</v>
      </c>
      <c r="C105" s="0" t="s">
        <v>26</v>
      </c>
      <c r="D105" s="0" t="s">
        <v>53</v>
      </c>
      <c r="E105" s="0" t="s">
        <v>54</v>
      </c>
      <c r="F105" s="0" t="s">
        <v>29</v>
      </c>
      <c r="G105" s="0" t="s">
        <v>546</v>
      </c>
      <c r="H105" s="0" t="s">
        <v>43</v>
      </c>
      <c r="I105" s="0" t="s">
        <v>547</v>
      </c>
      <c r="J105" s="0" t="s">
        <v>45</v>
      </c>
      <c r="K105" s="0" t="n">
        <v>4</v>
      </c>
      <c r="L105" s="0" t="n">
        <v>3</v>
      </c>
      <c r="M105" s="0" t="n">
        <v>2</v>
      </c>
      <c r="N105" s="0" t="n">
        <v>4</v>
      </c>
      <c r="O105" s="0" t="n">
        <f aca="false">SUM(K105:N105)</f>
        <v>13</v>
      </c>
      <c r="P105" s="0" t="str">
        <f aca="false">IF(O105&gt;=15,"Yes","No")</f>
        <v>No</v>
      </c>
      <c r="Q105" s="0" t="s">
        <v>60</v>
      </c>
      <c r="R105" s="2" t="n">
        <v>862000</v>
      </c>
      <c r="S105" s="3" t="n">
        <v>0.15</v>
      </c>
      <c r="T105" s="2" t="n">
        <f aca="false">R105*S105</f>
        <v>129300</v>
      </c>
      <c r="U105" s="4" t="s">
        <v>509</v>
      </c>
    </row>
    <row r="106" customFormat="false" ht="15" hidden="false" customHeight="false" outlineLevel="0" collapsed="false">
      <c r="A106" s="0" t="s">
        <v>548</v>
      </c>
      <c r="B106" s="0" t="s">
        <v>214</v>
      </c>
      <c r="C106" s="0" t="s">
        <v>52</v>
      </c>
      <c r="D106" s="0" t="s">
        <v>27</v>
      </c>
      <c r="E106" s="0" t="s">
        <v>322</v>
      </c>
      <c r="F106" s="0" t="s">
        <v>55</v>
      </c>
      <c r="G106" s="0" t="s">
        <v>549</v>
      </c>
      <c r="H106" s="0" t="s">
        <v>86</v>
      </c>
      <c r="I106" s="0" t="s">
        <v>35</v>
      </c>
      <c r="J106" s="0" t="s">
        <v>45</v>
      </c>
      <c r="K106" s="0" t="n">
        <v>1</v>
      </c>
      <c r="L106" s="0" t="n">
        <v>2</v>
      </c>
      <c r="M106" s="0" t="n">
        <v>1</v>
      </c>
      <c r="N106" s="0" t="n">
        <v>2</v>
      </c>
      <c r="O106" s="0" t="n">
        <f aca="false">SUM(K106:N106)</f>
        <v>6</v>
      </c>
      <c r="P106" s="0" t="str">
        <f aca="false">IF(O106&gt;=15,"Yes","No")</f>
        <v>No</v>
      </c>
      <c r="Q106" s="0" t="s">
        <v>159</v>
      </c>
      <c r="R106" s="2" t="n">
        <v>199000</v>
      </c>
      <c r="S106" s="3" t="n">
        <v>0.05</v>
      </c>
      <c r="T106" s="2" t="n">
        <f aca="false">R106*S106</f>
        <v>9950</v>
      </c>
      <c r="U106" s="4" t="s">
        <v>420</v>
      </c>
    </row>
    <row r="107" customFormat="false" ht="15" hidden="false" customHeight="false" outlineLevel="0" collapsed="false">
      <c r="A107" s="0" t="s">
        <v>550</v>
      </c>
      <c r="B107" s="0" t="s">
        <v>551</v>
      </c>
      <c r="C107" s="0" t="s">
        <v>26</v>
      </c>
      <c r="D107" s="0" t="s">
        <v>27</v>
      </c>
      <c r="E107" s="0" t="s">
        <v>322</v>
      </c>
      <c r="F107" s="0" t="s">
        <v>112</v>
      </c>
      <c r="G107" s="0" t="s">
        <v>552</v>
      </c>
      <c r="H107" s="0" t="s">
        <v>67</v>
      </c>
      <c r="I107" s="0" t="s">
        <v>371</v>
      </c>
      <c r="J107" s="0" t="s">
        <v>78</v>
      </c>
      <c r="K107" s="0" t="n">
        <v>3</v>
      </c>
      <c r="L107" s="0" t="n">
        <v>3</v>
      </c>
      <c r="M107" s="0" t="n">
        <v>3</v>
      </c>
      <c r="N107" s="0" t="n">
        <v>2</v>
      </c>
      <c r="O107" s="0" t="n">
        <f aca="false">SUM(K107:N107)</f>
        <v>11</v>
      </c>
      <c r="P107" s="0" t="str">
        <f aca="false">IF(O107&gt;=15,"Yes","No")</f>
        <v>No</v>
      </c>
      <c r="Q107" s="0" t="s">
        <v>60</v>
      </c>
      <c r="R107" s="2" t="n">
        <v>184000</v>
      </c>
      <c r="S107" s="3" t="n">
        <v>0.15</v>
      </c>
      <c r="T107" s="2" t="n">
        <f aca="false">R107*S107</f>
        <v>27600</v>
      </c>
      <c r="U107" s="4" t="s">
        <v>553</v>
      </c>
    </row>
    <row r="108" customFormat="false" ht="15" hidden="false" customHeight="false" outlineLevel="0" collapsed="false">
      <c r="A108" s="0" t="s">
        <v>554</v>
      </c>
      <c r="B108" s="0" t="s">
        <v>555</v>
      </c>
      <c r="C108" s="0" t="s">
        <v>39</v>
      </c>
      <c r="D108" s="0" t="s">
        <v>64</v>
      </c>
      <c r="E108" s="0" t="s">
        <v>119</v>
      </c>
      <c r="F108" s="0" t="s">
        <v>75</v>
      </c>
      <c r="G108" s="0" t="s">
        <v>556</v>
      </c>
      <c r="H108" s="0" t="s">
        <v>57</v>
      </c>
      <c r="I108" s="0" t="s">
        <v>557</v>
      </c>
      <c r="J108" s="0" t="s">
        <v>45</v>
      </c>
      <c r="K108" s="0" t="n">
        <v>1</v>
      </c>
      <c r="L108" s="0" t="n">
        <v>1</v>
      </c>
      <c r="M108" s="0" t="n">
        <v>4</v>
      </c>
      <c r="N108" s="0" t="n">
        <v>2</v>
      </c>
      <c r="O108" s="0" t="n">
        <f aca="false">SUM(K108:N108)</f>
        <v>8</v>
      </c>
      <c r="P108" s="0" t="str">
        <f aca="false">IF(O108&gt;=15,"Yes","No")</f>
        <v>No</v>
      </c>
      <c r="Q108" s="0" t="s">
        <v>159</v>
      </c>
      <c r="R108" s="2" t="n">
        <v>2087000</v>
      </c>
      <c r="S108" s="3" t="n">
        <v>0.05</v>
      </c>
      <c r="T108" s="2" t="n">
        <f aca="false">R108*S108</f>
        <v>104350</v>
      </c>
      <c r="U108" s="4" t="s">
        <v>558</v>
      </c>
    </row>
    <row r="109" customFormat="false" ht="15" hidden="false" customHeight="false" outlineLevel="0" collapsed="false">
      <c r="A109" s="0" t="s">
        <v>559</v>
      </c>
      <c r="B109" s="0" t="s">
        <v>177</v>
      </c>
      <c r="C109" s="0" t="s">
        <v>39</v>
      </c>
      <c r="D109" s="0" t="s">
        <v>53</v>
      </c>
      <c r="E109" s="0" t="s">
        <v>84</v>
      </c>
      <c r="F109" s="0" t="s">
        <v>41</v>
      </c>
      <c r="G109" s="0" t="s">
        <v>560</v>
      </c>
      <c r="H109" s="0" t="s">
        <v>248</v>
      </c>
      <c r="I109" s="0" t="s">
        <v>561</v>
      </c>
      <c r="J109" s="0" t="s">
        <v>33</v>
      </c>
      <c r="K109" s="0" t="n">
        <v>2</v>
      </c>
      <c r="L109" s="0" t="n">
        <v>1</v>
      </c>
      <c r="M109" s="0" t="n">
        <v>3</v>
      </c>
      <c r="N109" s="0" t="n">
        <v>2</v>
      </c>
      <c r="O109" s="0" t="n">
        <f aca="false">SUM(K109:N109)</f>
        <v>8</v>
      </c>
      <c r="P109" s="0" t="str">
        <f aca="false">IF(O109&gt;=15,"Yes","No")</f>
        <v>No</v>
      </c>
      <c r="Q109" s="0" t="s">
        <v>159</v>
      </c>
      <c r="R109" s="2" t="n">
        <v>657000</v>
      </c>
      <c r="S109" s="3" t="n">
        <v>0.05</v>
      </c>
      <c r="T109" s="2" t="n">
        <f aca="false">R109*S109</f>
        <v>32850</v>
      </c>
      <c r="U109" s="4" t="s">
        <v>562</v>
      </c>
    </row>
    <row r="110" customFormat="false" ht="15" hidden="false" customHeight="false" outlineLevel="0" collapsed="false">
      <c r="A110" s="0" t="s">
        <v>563</v>
      </c>
      <c r="B110" s="0" t="s">
        <v>513</v>
      </c>
      <c r="C110" s="0" t="s">
        <v>152</v>
      </c>
      <c r="D110" s="0" t="s">
        <v>53</v>
      </c>
      <c r="E110" s="0" t="s">
        <v>111</v>
      </c>
      <c r="F110" s="0" t="s">
        <v>179</v>
      </c>
      <c r="G110" s="0" t="s">
        <v>564</v>
      </c>
      <c r="H110" s="0" t="s">
        <v>57</v>
      </c>
      <c r="I110" s="0" t="s">
        <v>565</v>
      </c>
      <c r="J110" s="0" t="s">
        <v>69</v>
      </c>
      <c r="K110" s="0" t="n">
        <v>1</v>
      </c>
      <c r="L110" s="0" t="n">
        <v>1</v>
      </c>
      <c r="M110" s="0" t="n">
        <v>2</v>
      </c>
      <c r="N110" s="0" t="n">
        <v>4</v>
      </c>
      <c r="O110" s="0" t="n">
        <f aca="false">SUM(K110:N110)</f>
        <v>8</v>
      </c>
      <c r="P110" s="0" t="str">
        <f aca="false">IF(O110&gt;=15,"Yes","No")</f>
        <v>No</v>
      </c>
      <c r="Q110" s="0" t="s">
        <v>115</v>
      </c>
      <c r="R110" s="2" t="n">
        <v>492000</v>
      </c>
      <c r="S110" s="3" t="n">
        <v>0.35</v>
      </c>
      <c r="T110" s="2" t="n">
        <f aca="false">R110*S110</f>
        <v>172200</v>
      </c>
      <c r="U110" s="4" t="s">
        <v>132</v>
      </c>
    </row>
    <row r="111" customFormat="false" ht="15" hidden="false" customHeight="false" outlineLevel="0" collapsed="false">
      <c r="A111" s="0" t="s">
        <v>566</v>
      </c>
      <c r="B111" s="0" t="s">
        <v>567</v>
      </c>
      <c r="C111" s="0" t="s">
        <v>39</v>
      </c>
      <c r="D111" s="0" t="s">
        <v>27</v>
      </c>
      <c r="E111" s="0" t="s">
        <v>195</v>
      </c>
      <c r="F111" s="0" t="s">
        <v>29</v>
      </c>
      <c r="G111" s="0" t="s">
        <v>568</v>
      </c>
      <c r="H111" s="0" t="s">
        <v>67</v>
      </c>
      <c r="I111" s="0" t="s">
        <v>569</v>
      </c>
      <c r="J111" s="0" t="s">
        <v>69</v>
      </c>
      <c r="K111" s="0" t="n">
        <v>2</v>
      </c>
      <c r="L111" s="0" t="n">
        <v>5</v>
      </c>
      <c r="M111" s="0" t="n">
        <v>4</v>
      </c>
      <c r="N111" s="0" t="n">
        <v>4</v>
      </c>
      <c r="O111" s="0" t="n">
        <f aca="false">SUM(K111:N111)</f>
        <v>15</v>
      </c>
      <c r="P111" s="0" t="str">
        <f aca="false">IF(O111&gt;=15,"Yes","No")</f>
        <v>Yes</v>
      </c>
      <c r="Q111" s="0" t="s">
        <v>60</v>
      </c>
      <c r="R111" s="2" t="n">
        <v>243000</v>
      </c>
      <c r="S111" s="3" t="n">
        <v>0.15</v>
      </c>
      <c r="T111" s="2" t="n">
        <f aca="false">R111*S111</f>
        <v>36450</v>
      </c>
      <c r="U111" s="4" t="s">
        <v>420</v>
      </c>
    </row>
    <row r="112" customFormat="false" ht="15" hidden="false" customHeight="false" outlineLevel="0" collapsed="false">
      <c r="A112" s="0" t="s">
        <v>570</v>
      </c>
      <c r="B112" s="0" t="s">
        <v>571</v>
      </c>
      <c r="C112" s="0" t="s">
        <v>129</v>
      </c>
      <c r="D112" s="0" t="s">
        <v>64</v>
      </c>
      <c r="E112" s="0" t="s">
        <v>40</v>
      </c>
      <c r="F112" s="0" t="s">
        <v>130</v>
      </c>
      <c r="G112" s="0" t="s">
        <v>572</v>
      </c>
      <c r="H112" s="0" t="s">
        <v>248</v>
      </c>
      <c r="I112" s="0" t="s">
        <v>254</v>
      </c>
      <c r="J112" s="0" t="s">
        <v>45</v>
      </c>
      <c r="K112" s="0" t="n">
        <v>3</v>
      </c>
      <c r="L112" s="0" t="n">
        <v>3</v>
      </c>
      <c r="M112" s="0" t="n">
        <v>2</v>
      </c>
      <c r="N112" s="0" t="n">
        <v>1</v>
      </c>
      <c r="O112" s="0" t="n">
        <f aca="false">SUM(K112:N112)</f>
        <v>9</v>
      </c>
      <c r="P112" s="0" t="str">
        <f aca="false">IF(O112&gt;=15,"Yes","No")</f>
        <v>No</v>
      </c>
      <c r="Q112" s="0" t="s">
        <v>60</v>
      </c>
      <c r="R112" s="2" t="n">
        <v>1735000</v>
      </c>
      <c r="S112" s="3" t="n">
        <v>0.15</v>
      </c>
      <c r="T112" s="2" t="n">
        <f aca="false">R112*S112</f>
        <v>260250</v>
      </c>
      <c r="U112" s="4" t="s">
        <v>330</v>
      </c>
    </row>
    <row r="113" customFormat="false" ht="15" hidden="false" customHeight="false" outlineLevel="0" collapsed="false">
      <c r="A113" s="0" t="s">
        <v>573</v>
      </c>
      <c r="B113" s="0" t="s">
        <v>574</v>
      </c>
      <c r="C113" s="0" t="s">
        <v>26</v>
      </c>
      <c r="D113" s="0" t="s">
        <v>27</v>
      </c>
      <c r="E113" s="0" t="s">
        <v>215</v>
      </c>
      <c r="F113" s="0" t="s">
        <v>112</v>
      </c>
      <c r="G113" s="0" t="s">
        <v>575</v>
      </c>
      <c r="H113" s="0" t="s">
        <v>67</v>
      </c>
      <c r="I113" s="0" t="s">
        <v>126</v>
      </c>
      <c r="J113" s="0" t="s">
        <v>45</v>
      </c>
      <c r="K113" s="0" t="n">
        <v>4</v>
      </c>
      <c r="L113" s="0" t="n">
        <v>5</v>
      </c>
      <c r="M113" s="0" t="n">
        <v>3</v>
      </c>
      <c r="N113" s="0" t="n">
        <v>4</v>
      </c>
      <c r="O113" s="0" t="n">
        <f aca="false">SUM(K113:N113)</f>
        <v>16</v>
      </c>
      <c r="P113" s="0" t="str">
        <f aca="false">IF(O113&gt;=15,"Yes","No")</f>
        <v>Yes</v>
      </c>
      <c r="Q113" s="0" t="s">
        <v>46</v>
      </c>
      <c r="R113" s="2" t="n">
        <v>152000</v>
      </c>
      <c r="S113" s="3" t="n">
        <v>0</v>
      </c>
      <c r="T113" s="2" t="n">
        <f aca="false">R113*S113</f>
        <v>0</v>
      </c>
      <c r="U113" s="4" t="s">
        <v>576</v>
      </c>
      <c r="V113" s="4" t="s">
        <v>577</v>
      </c>
      <c r="W113" s="0" t="n">
        <v>40</v>
      </c>
      <c r="X113" s="4" t="s">
        <v>443</v>
      </c>
    </row>
    <row r="114" customFormat="false" ht="15" hidden="false" customHeight="false" outlineLevel="0" collapsed="false">
      <c r="A114" s="0" t="s">
        <v>578</v>
      </c>
      <c r="B114" s="0" t="s">
        <v>579</v>
      </c>
      <c r="C114" s="0" t="s">
        <v>152</v>
      </c>
      <c r="D114" s="0" t="s">
        <v>53</v>
      </c>
      <c r="E114" s="0" t="s">
        <v>105</v>
      </c>
      <c r="F114" s="0" t="s">
        <v>153</v>
      </c>
      <c r="G114" s="0" t="s">
        <v>580</v>
      </c>
      <c r="H114" s="0" t="s">
        <v>57</v>
      </c>
      <c r="I114" s="0" t="s">
        <v>202</v>
      </c>
      <c r="J114" s="0" t="s">
        <v>69</v>
      </c>
      <c r="K114" s="0" t="n">
        <v>2</v>
      </c>
      <c r="L114" s="0" t="n">
        <v>2</v>
      </c>
      <c r="M114" s="0" t="n">
        <v>3</v>
      </c>
      <c r="N114" s="0" t="n">
        <v>1</v>
      </c>
      <c r="O114" s="0" t="n">
        <f aca="false">SUM(K114:N114)</f>
        <v>8</v>
      </c>
      <c r="P114" s="0" t="str">
        <f aca="false">IF(O114&gt;=15,"Yes","No")</f>
        <v>No</v>
      </c>
      <c r="Q114" s="0" t="s">
        <v>159</v>
      </c>
      <c r="R114" s="2" t="n">
        <v>512000</v>
      </c>
      <c r="S114" s="3" t="n">
        <v>0.05</v>
      </c>
      <c r="T114" s="2" t="n">
        <f aca="false">R114*S114</f>
        <v>25600</v>
      </c>
      <c r="U114" s="4" t="s">
        <v>581</v>
      </c>
    </row>
    <row r="115" customFormat="false" ht="15" hidden="false" customHeight="false" outlineLevel="0" collapsed="false">
      <c r="A115" s="0" t="s">
        <v>582</v>
      </c>
      <c r="B115" s="0" t="s">
        <v>241</v>
      </c>
      <c r="C115" s="0" t="s">
        <v>39</v>
      </c>
      <c r="D115" s="0" t="s">
        <v>53</v>
      </c>
      <c r="E115" s="0" t="s">
        <v>111</v>
      </c>
      <c r="F115" s="0" t="s">
        <v>75</v>
      </c>
      <c r="G115" s="0" t="s">
        <v>583</v>
      </c>
      <c r="H115" s="0" t="s">
        <v>248</v>
      </c>
      <c r="I115" s="0" t="s">
        <v>303</v>
      </c>
      <c r="J115" s="0" t="s">
        <v>69</v>
      </c>
      <c r="K115" s="0" t="n">
        <v>3</v>
      </c>
      <c r="L115" s="0" t="n">
        <v>3</v>
      </c>
      <c r="M115" s="0" t="n">
        <v>4</v>
      </c>
      <c r="N115" s="0" t="n">
        <v>2</v>
      </c>
      <c r="O115" s="0" t="n">
        <f aca="false">SUM(K115:N115)</f>
        <v>12</v>
      </c>
      <c r="P115" s="0" t="str">
        <f aca="false">IF(O115&gt;=15,"Yes","No")</f>
        <v>No</v>
      </c>
      <c r="Q115" s="0" t="s">
        <v>60</v>
      </c>
      <c r="R115" s="2" t="n">
        <v>546000</v>
      </c>
      <c r="S115" s="3" t="n">
        <v>0.15</v>
      </c>
      <c r="T115" s="2" t="n">
        <f aca="false">R115*S115</f>
        <v>81900</v>
      </c>
      <c r="U115" s="4" t="s">
        <v>383</v>
      </c>
    </row>
    <row r="116" customFormat="false" ht="15" hidden="false" customHeight="false" outlineLevel="0" collapsed="false">
      <c r="A116" s="0" t="s">
        <v>584</v>
      </c>
      <c r="B116" s="0" t="s">
        <v>585</v>
      </c>
      <c r="C116" s="0" t="s">
        <v>264</v>
      </c>
      <c r="D116" s="0" t="s">
        <v>53</v>
      </c>
      <c r="E116" s="0" t="s">
        <v>65</v>
      </c>
      <c r="F116" s="0" t="s">
        <v>29</v>
      </c>
      <c r="G116" s="0" t="s">
        <v>586</v>
      </c>
      <c r="H116" s="0" t="s">
        <v>86</v>
      </c>
      <c r="I116" s="0" t="s">
        <v>587</v>
      </c>
      <c r="J116" s="0" t="s">
        <v>69</v>
      </c>
      <c r="K116" s="0" t="n">
        <v>2</v>
      </c>
      <c r="L116" s="0" t="n">
        <v>1</v>
      </c>
      <c r="M116" s="0" t="n">
        <v>2</v>
      </c>
      <c r="N116" s="0" t="n">
        <v>1</v>
      </c>
      <c r="O116" s="0" t="n">
        <f aca="false">SUM(K116:N116)</f>
        <v>6</v>
      </c>
      <c r="P116" s="0" t="str">
        <f aca="false">IF(O116&gt;=15,"Yes","No")</f>
        <v>No</v>
      </c>
      <c r="Q116" s="0" t="s">
        <v>60</v>
      </c>
      <c r="R116" s="2" t="n">
        <v>522000</v>
      </c>
      <c r="S116" s="3" t="n">
        <v>0.15</v>
      </c>
      <c r="T116" s="2" t="n">
        <f aca="false">R116*S116</f>
        <v>78300</v>
      </c>
      <c r="U116" s="4" t="s">
        <v>588</v>
      </c>
    </row>
    <row r="117" customFormat="false" ht="15" hidden="false" customHeight="false" outlineLevel="0" collapsed="false">
      <c r="A117" s="0" t="s">
        <v>589</v>
      </c>
      <c r="B117" s="0" t="s">
        <v>590</v>
      </c>
      <c r="C117" s="0" t="s">
        <v>52</v>
      </c>
      <c r="D117" s="0" t="s">
        <v>53</v>
      </c>
      <c r="E117" s="0" t="s">
        <v>54</v>
      </c>
      <c r="F117" s="0" t="s">
        <v>75</v>
      </c>
      <c r="G117" s="0" t="s">
        <v>591</v>
      </c>
      <c r="H117" s="0" t="s">
        <v>86</v>
      </c>
      <c r="I117" s="0" t="s">
        <v>592</v>
      </c>
      <c r="J117" s="0" t="s">
        <v>59</v>
      </c>
      <c r="K117" s="0" t="n">
        <v>4</v>
      </c>
      <c r="L117" s="0" t="n">
        <v>2</v>
      </c>
      <c r="M117" s="0" t="n">
        <v>1</v>
      </c>
      <c r="N117" s="0" t="n">
        <v>1</v>
      </c>
      <c r="O117" s="0" t="n">
        <f aca="false">SUM(K117:N117)</f>
        <v>8</v>
      </c>
      <c r="P117" s="0" t="str">
        <f aca="false">IF(O117&gt;=15,"Yes","No")</f>
        <v>No</v>
      </c>
      <c r="Q117" s="0" t="s">
        <v>159</v>
      </c>
      <c r="R117" s="2" t="n">
        <v>720000</v>
      </c>
      <c r="S117" s="3" t="n">
        <v>0.05</v>
      </c>
      <c r="T117" s="2" t="n">
        <f aca="false">R117*S117</f>
        <v>36000</v>
      </c>
      <c r="U117" s="4" t="s">
        <v>499</v>
      </c>
    </row>
    <row r="118" customFormat="false" ht="15" hidden="false" customHeight="false" outlineLevel="0" collapsed="false">
      <c r="A118" s="0" t="s">
        <v>593</v>
      </c>
      <c r="B118" s="0" t="s">
        <v>594</v>
      </c>
      <c r="C118" s="0" t="s">
        <v>26</v>
      </c>
      <c r="D118" s="0" t="s">
        <v>27</v>
      </c>
      <c r="E118" s="0" t="s">
        <v>40</v>
      </c>
      <c r="F118" s="0" t="s">
        <v>179</v>
      </c>
      <c r="G118" s="0" t="s">
        <v>595</v>
      </c>
      <c r="H118" s="0" t="s">
        <v>67</v>
      </c>
      <c r="I118" s="0" t="s">
        <v>390</v>
      </c>
      <c r="J118" s="0" t="s">
        <v>78</v>
      </c>
      <c r="K118" s="0" t="n">
        <v>2</v>
      </c>
      <c r="L118" s="0" t="n">
        <v>3</v>
      </c>
      <c r="M118" s="0" t="n">
        <v>4</v>
      </c>
      <c r="N118" s="0" t="n">
        <v>2</v>
      </c>
      <c r="O118" s="0" t="n">
        <f aca="false">SUM(K118:N118)</f>
        <v>11</v>
      </c>
      <c r="P118" s="0" t="str">
        <f aca="false">IF(O118&gt;=15,"Yes","No")</f>
        <v>No</v>
      </c>
      <c r="Q118" s="0" t="s">
        <v>159</v>
      </c>
      <c r="R118" s="2" t="n">
        <v>159000</v>
      </c>
      <c r="S118" s="3" t="n">
        <v>0.05</v>
      </c>
      <c r="T118" s="2" t="n">
        <f aca="false">R118*S118</f>
        <v>7950</v>
      </c>
      <c r="U118" s="4" t="s">
        <v>596</v>
      </c>
    </row>
    <row r="119" customFormat="false" ht="15" hidden="false" customHeight="false" outlineLevel="0" collapsed="false">
      <c r="A119" s="0" t="s">
        <v>597</v>
      </c>
      <c r="B119" s="0" t="s">
        <v>598</v>
      </c>
      <c r="C119" s="0" t="s">
        <v>26</v>
      </c>
      <c r="D119" s="0" t="s">
        <v>27</v>
      </c>
      <c r="E119" s="0" t="s">
        <v>322</v>
      </c>
      <c r="F119" s="0" t="s">
        <v>55</v>
      </c>
      <c r="G119" s="0" t="s">
        <v>599</v>
      </c>
      <c r="H119" s="0" t="s">
        <v>67</v>
      </c>
      <c r="I119" s="0" t="s">
        <v>600</v>
      </c>
      <c r="J119" s="0" t="s">
        <v>59</v>
      </c>
      <c r="K119" s="0" t="n">
        <v>4</v>
      </c>
      <c r="L119" s="0" t="n">
        <v>1</v>
      </c>
      <c r="M119" s="0" t="n">
        <v>5</v>
      </c>
      <c r="N119" s="0" t="n">
        <v>4</v>
      </c>
      <c r="O119" s="0" t="n">
        <f aca="false">SUM(K119:N119)</f>
        <v>14</v>
      </c>
      <c r="P119" s="0" t="str">
        <f aca="false">IF(O119&gt;=15,"Yes","No")</f>
        <v>No</v>
      </c>
      <c r="Q119" s="0" t="s">
        <v>115</v>
      </c>
      <c r="R119" s="2" t="n">
        <v>228000</v>
      </c>
      <c r="S119" s="3" t="n">
        <v>0.35</v>
      </c>
      <c r="T119" s="2" t="n">
        <f aca="false">R119*S119</f>
        <v>79800</v>
      </c>
      <c r="U119" s="4" t="s">
        <v>601</v>
      </c>
    </row>
    <row r="120" customFormat="false" ht="15" hidden="false" customHeight="false" outlineLevel="0" collapsed="false">
      <c r="A120" s="0" t="s">
        <v>602</v>
      </c>
      <c r="B120" s="0" t="s">
        <v>305</v>
      </c>
      <c r="C120" s="0" t="s">
        <v>264</v>
      </c>
      <c r="D120" s="0" t="s">
        <v>27</v>
      </c>
      <c r="E120" s="0" t="s">
        <v>322</v>
      </c>
      <c r="F120" s="0" t="s">
        <v>29</v>
      </c>
      <c r="G120" s="0" t="s">
        <v>549</v>
      </c>
      <c r="H120" s="0" t="s">
        <v>67</v>
      </c>
      <c r="I120" s="0" t="s">
        <v>489</v>
      </c>
      <c r="J120" s="0" t="s">
        <v>78</v>
      </c>
      <c r="K120" s="0" t="n">
        <v>4</v>
      </c>
      <c r="L120" s="0" t="n">
        <v>4</v>
      </c>
      <c r="M120" s="0" t="n">
        <v>3</v>
      </c>
      <c r="N120" s="0" t="n">
        <v>4</v>
      </c>
      <c r="O120" s="0" t="n">
        <f aca="false">SUM(K120:N120)</f>
        <v>15</v>
      </c>
      <c r="P120" s="0" t="str">
        <f aca="false">IF(O120&gt;=15,"Yes","No")</f>
        <v>Yes</v>
      </c>
      <c r="Q120" s="0" t="s">
        <v>115</v>
      </c>
      <c r="R120" s="2" t="n">
        <v>232000</v>
      </c>
      <c r="S120" s="3" t="n">
        <v>0.35</v>
      </c>
      <c r="T120" s="2" t="n">
        <f aca="false">R120*S120</f>
        <v>81200</v>
      </c>
      <c r="U120" s="4" t="s">
        <v>603</v>
      </c>
    </row>
    <row r="121" customFormat="false" ht="15" hidden="false" customHeight="false" outlineLevel="0" collapsed="false">
      <c r="A121" s="0" t="s">
        <v>604</v>
      </c>
      <c r="B121" s="0" t="s">
        <v>605</v>
      </c>
      <c r="C121" s="0" t="s">
        <v>264</v>
      </c>
      <c r="D121" s="0" t="s">
        <v>64</v>
      </c>
      <c r="E121" s="0" t="s">
        <v>178</v>
      </c>
      <c r="F121" s="0" t="s">
        <v>130</v>
      </c>
      <c r="G121" s="0" t="s">
        <v>606</v>
      </c>
      <c r="H121" s="0" t="s">
        <v>67</v>
      </c>
      <c r="I121" s="0" t="s">
        <v>499</v>
      </c>
      <c r="J121" s="0" t="s">
        <v>78</v>
      </c>
      <c r="K121" s="0" t="n">
        <v>1</v>
      </c>
      <c r="L121" s="0" t="n">
        <v>3</v>
      </c>
      <c r="M121" s="0" t="n">
        <v>4</v>
      </c>
      <c r="N121" s="0" t="n">
        <v>2</v>
      </c>
      <c r="O121" s="0" t="n">
        <f aca="false">SUM(K121:N121)</f>
        <v>10</v>
      </c>
      <c r="P121" s="0" t="str">
        <f aca="false">IF(O121&gt;=15,"Yes","No")</f>
        <v>No</v>
      </c>
      <c r="Q121" s="0" t="s">
        <v>159</v>
      </c>
      <c r="R121" s="2" t="n">
        <v>2560000</v>
      </c>
      <c r="S121" s="3" t="n">
        <v>0.05</v>
      </c>
      <c r="T121" s="2" t="n">
        <f aca="false">R121*S121</f>
        <v>128000</v>
      </c>
      <c r="U121" s="4" t="s">
        <v>607</v>
      </c>
    </row>
    <row r="122" customFormat="false" ht="15" hidden="false" customHeight="false" outlineLevel="0" collapsed="false">
      <c r="A122" s="0" t="s">
        <v>608</v>
      </c>
      <c r="B122" s="0" t="s">
        <v>609</v>
      </c>
      <c r="C122" s="0" t="s">
        <v>264</v>
      </c>
      <c r="D122" s="0" t="s">
        <v>53</v>
      </c>
      <c r="E122" s="0" t="s">
        <v>111</v>
      </c>
      <c r="F122" s="0" t="s">
        <v>55</v>
      </c>
      <c r="G122" s="0" t="s">
        <v>610</v>
      </c>
      <c r="H122" s="0" t="s">
        <v>43</v>
      </c>
      <c r="I122" s="0" t="s">
        <v>493</v>
      </c>
      <c r="J122" s="0" t="s">
        <v>45</v>
      </c>
      <c r="K122" s="0" t="n">
        <v>4</v>
      </c>
      <c r="L122" s="0" t="n">
        <v>3</v>
      </c>
      <c r="M122" s="0" t="n">
        <v>4</v>
      </c>
      <c r="N122" s="0" t="n">
        <v>3</v>
      </c>
      <c r="O122" s="0" t="n">
        <f aca="false">SUM(K122:N122)</f>
        <v>14</v>
      </c>
      <c r="P122" s="0" t="str">
        <f aca="false">IF(O122&gt;=15,"Yes","No")</f>
        <v>No</v>
      </c>
      <c r="Q122" s="0" t="s">
        <v>60</v>
      </c>
      <c r="R122" s="2" t="n">
        <v>729000</v>
      </c>
      <c r="S122" s="3" t="n">
        <v>0.15</v>
      </c>
      <c r="T122" s="2" t="n">
        <f aca="false">R122*S122</f>
        <v>109350</v>
      </c>
      <c r="U122" s="4" t="s">
        <v>239</v>
      </c>
    </row>
    <row r="123" customFormat="false" ht="15" hidden="false" customHeight="false" outlineLevel="0" collapsed="false">
      <c r="A123" s="0" t="s">
        <v>611</v>
      </c>
      <c r="B123" s="0" t="s">
        <v>612</v>
      </c>
      <c r="C123" s="0" t="s">
        <v>74</v>
      </c>
      <c r="D123" s="0" t="s">
        <v>53</v>
      </c>
      <c r="E123" s="0" t="s">
        <v>92</v>
      </c>
      <c r="F123" s="0" t="s">
        <v>130</v>
      </c>
      <c r="G123" s="0" t="s">
        <v>613</v>
      </c>
      <c r="H123" s="0" t="s">
        <v>57</v>
      </c>
      <c r="I123" s="0" t="s">
        <v>562</v>
      </c>
      <c r="J123" s="0" t="s">
        <v>59</v>
      </c>
      <c r="K123" s="0" t="n">
        <v>1</v>
      </c>
      <c r="L123" s="0" t="n">
        <v>3</v>
      </c>
      <c r="M123" s="0" t="n">
        <v>2</v>
      </c>
      <c r="N123" s="0" t="n">
        <v>1</v>
      </c>
      <c r="O123" s="0" t="n">
        <f aca="false">SUM(K123:N123)</f>
        <v>7</v>
      </c>
      <c r="P123" s="0" t="str">
        <f aca="false">IF(O123&gt;=15,"Yes","No")</f>
        <v>No</v>
      </c>
      <c r="Q123" s="0" t="s">
        <v>115</v>
      </c>
      <c r="R123" s="2" t="n">
        <v>833000</v>
      </c>
      <c r="S123" s="3" t="n">
        <v>0.35</v>
      </c>
      <c r="T123" s="2" t="n">
        <f aca="false">R123*S123</f>
        <v>291550</v>
      </c>
      <c r="U123" s="4" t="s">
        <v>614</v>
      </c>
    </row>
    <row r="124" customFormat="false" ht="15" hidden="false" customHeight="false" outlineLevel="0" collapsed="false">
      <c r="A124" s="0" t="s">
        <v>615</v>
      </c>
      <c r="B124" s="0" t="s">
        <v>616</v>
      </c>
      <c r="C124" s="0" t="s">
        <v>39</v>
      </c>
      <c r="D124" s="0" t="s">
        <v>64</v>
      </c>
      <c r="E124" s="0" t="s">
        <v>84</v>
      </c>
      <c r="F124" s="0" t="s">
        <v>130</v>
      </c>
      <c r="G124" s="0" t="s">
        <v>560</v>
      </c>
      <c r="H124" s="0" t="s">
        <v>86</v>
      </c>
      <c r="I124" s="0" t="s">
        <v>617</v>
      </c>
      <c r="J124" s="0" t="s">
        <v>78</v>
      </c>
      <c r="K124" s="0" t="n">
        <v>1</v>
      </c>
      <c r="L124" s="0" t="n">
        <v>3</v>
      </c>
      <c r="M124" s="0" t="n">
        <v>3</v>
      </c>
      <c r="N124" s="0" t="n">
        <v>2</v>
      </c>
      <c r="O124" s="0" t="n">
        <f aca="false">SUM(K124:N124)</f>
        <v>9</v>
      </c>
      <c r="P124" s="0" t="str">
        <f aca="false">IF(O124&gt;=15,"Yes","No")</f>
        <v>No</v>
      </c>
      <c r="Q124" s="0" t="s">
        <v>60</v>
      </c>
      <c r="R124" s="2" t="n">
        <v>2899000</v>
      </c>
      <c r="S124" s="3" t="n">
        <v>0.15</v>
      </c>
      <c r="T124" s="2" t="n">
        <f aca="false">R124*S124</f>
        <v>434850</v>
      </c>
      <c r="U124" s="4" t="s">
        <v>618</v>
      </c>
    </row>
    <row r="125" customFormat="false" ht="15" hidden="false" customHeight="false" outlineLevel="0" collapsed="false">
      <c r="A125" s="0" t="s">
        <v>619</v>
      </c>
      <c r="B125" s="0" t="s">
        <v>338</v>
      </c>
      <c r="C125" s="0" t="s">
        <v>26</v>
      </c>
      <c r="D125" s="0" t="s">
        <v>27</v>
      </c>
      <c r="E125" s="0" t="s">
        <v>322</v>
      </c>
      <c r="F125" s="0" t="s">
        <v>75</v>
      </c>
      <c r="G125" s="0" t="s">
        <v>620</v>
      </c>
      <c r="H125" s="0" t="s">
        <v>57</v>
      </c>
      <c r="I125" s="0" t="s">
        <v>621</v>
      </c>
      <c r="J125" s="0" t="s">
        <v>78</v>
      </c>
      <c r="K125" s="0" t="n">
        <v>3</v>
      </c>
      <c r="L125" s="0" t="n">
        <v>2</v>
      </c>
      <c r="M125" s="0" t="n">
        <v>1</v>
      </c>
      <c r="N125" s="0" t="n">
        <v>1</v>
      </c>
      <c r="O125" s="0" t="n">
        <f aca="false">SUM(K125:N125)</f>
        <v>7</v>
      </c>
      <c r="P125" s="0" t="str">
        <f aca="false">IF(O125&gt;=15,"Yes","No")</f>
        <v>No</v>
      </c>
      <c r="Q125" s="0" t="s">
        <v>60</v>
      </c>
      <c r="R125" s="2" t="n">
        <v>169000</v>
      </c>
      <c r="S125" s="3" t="n">
        <v>0.15</v>
      </c>
      <c r="T125" s="2" t="n">
        <f aca="false">R125*S125</f>
        <v>25350</v>
      </c>
      <c r="U125" s="4" t="s">
        <v>255</v>
      </c>
    </row>
    <row r="126" customFormat="false" ht="15" hidden="false" customHeight="false" outlineLevel="0" collapsed="false">
      <c r="A126" s="0" t="s">
        <v>622</v>
      </c>
      <c r="B126" s="0" t="s">
        <v>403</v>
      </c>
      <c r="C126" s="0" t="s">
        <v>74</v>
      </c>
      <c r="D126" s="0" t="s">
        <v>53</v>
      </c>
      <c r="E126" s="0" t="s">
        <v>136</v>
      </c>
      <c r="F126" s="0" t="s">
        <v>179</v>
      </c>
      <c r="G126" s="0" t="s">
        <v>623</v>
      </c>
      <c r="H126" s="0" t="s">
        <v>43</v>
      </c>
      <c r="I126" s="0" t="s">
        <v>624</v>
      </c>
      <c r="J126" s="0" t="s">
        <v>45</v>
      </c>
      <c r="K126" s="0" t="n">
        <v>5</v>
      </c>
      <c r="L126" s="0" t="n">
        <v>4</v>
      </c>
      <c r="M126" s="0" t="n">
        <v>5</v>
      </c>
      <c r="N126" s="0" t="n">
        <v>4</v>
      </c>
      <c r="O126" s="0" t="n">
        <f aca="false">SUM(K126:N126)</f>
        <v>18</v>
      </c>
      <c r="P126" s="0" t="str">
        <f aca="false">IF(O126&gt;=15,"Yes","No")</f>
        <v>Yes</v>
      </c>
      <c r="Q126" s="0" t="s">
        <v>159</v>
      </c>
      <c r="R126" s="2" t="n">
        <v>546000</v>
      </c>
      <c r="S126" s="3" t="n">
        <v>0.05</v>
      </c>
      <c r="T126" s="2" t="n">
        <f aca="false">R126*S126</f>
        <v>27300</v>
      </c>
      <c r="U126" s="4" t="s">
        <v>625</v>
      </c>
    </row>
    <row r="127" customFormat="false" ht="15" hidden="false" customHeight="false" outlineLevel="0" collapsed="false">
      <c r="A127" s="0" t="s">
        <v>626</v>
      </c>
      <c r="B127" s="0" t="s">
        <v>627</v>
      </c>
      <c r="C127" s="0" t="s">
        <v>74</v>
      </c>
      <c r="D127" s="0" t="s">
        <v>64</v>
      </c>
      <c r="E127" s="0" t="s">
        <v>136</v>
      </c>
      <c r="F127" s="0" t="s">
        <v>153</v>
      </c>
      <c r="G127" s="0" t="s">
        <v>628</v>
      </c>
      <c r="H127" s="0" t="s">
        <v>86</v>
      </c>
      <c r="I127" s="0" t="s">
        <v>165</v>
      </c>
      <c r="J127" s="0" t="s">
        <v>78</v>
      </c>
      <c r="K127" s="0" t="n">
        <v>1</v>
      </c>
      <c r="L127" s="0" t="n">
        <v>2</v>
      </c>
      <c r="M127" s="0" t="n">
        <v>1</v>
      </c>
      <c r="N127" s="0" t="n">
        <v>1</v>
      </c>
      <c r="O127" s="0" t="n">
        <f aca="false">SUM(K127:N127)</f>
        <v>5</v>
      </c>
      <c r="P127" s="0" t="str">
        <f aca="false">IF(O127&gt;=15,"Yes","No")</f>
        <v>No</v>
      </c>
      <c r="Q127" s="0" t="s">
        <v>159</v>
      </c>
      <c r="R127" s="2" t="n">
        <v>2541000</v>
      </c>
      <c r="S127" s="3" t="n">
        <v>0.05</v>
      </c>
      <c r="T127" s="2" t="n">
        <f aca="false">R127*S127</f>
        <v>127050</v>
      </c>
      <c r="U127" s="4" t="s">
        <v>629</v>
      </c>
    </row>
    <row r="128" customFormat="false" ht="15" hidden="false" customHeight="false" outlineLevel="0" collapsed="false">
      <c r="A128" s="0" t="s">
        <v>630</v>
      </c>
      <c r="B128" s="0" t="s">
        <v>631</v>
      </c>
      <c r="C128" s="0" t="s">
        <v>184</v>
      </c>
      <c r="D128" s="0" t="s">
        <v>53</v>
      </c>
      <c r="E128" s="0" t="s">
        <v>65</v>
      </c>
      <c r="F128" s="0" t="s">
        <v>75</v>
      </c>
      <c r="G128" s="0" t="s">
        <v>632</v>
      </c>
      <c r="H128" s="0" t="s">
        <v>67</v>
      </c>
      <c r="I128" s="0" t="s">
        <v>633</v>
      </c>
      <c r="J128" s="0" t="s">
        <v>69</v>
      </c>
      <c r="K128" s="0" t="n">
        <v>4</v>
      </c>
      <c r="L128" s="0" t="n">
        <v>5</v>
      </c>
      <c r="M128" s="0" t="n">
        <v>3</v>
      </c>
      <c r="N128" s="0" t="n">
        <v>5</v>
      </c>
      <c r="O128" s="0" t="n">
        <f aca="false">SUM(K128:N128)</f>
        <v>17</v>
      </c>
      <c r="P128" s="0" t="str">
        <f aca="false">IF(O128&gt;=15,"Yes","No")</f>
        <v>Yes</v>
      </c>
      <c r="Q128" s="0" t="s">
        <v>115</v>
      </c>
      <c r="R128" s="2" t="n">
        <v>848000</v>
      </c>
      <c r="S128" s="3" t="n">
        <v>0.35</v>
      </c>
      <c r="T128" s="2" t="n">
        <f aca="false">R128*S128</f>
        <v>296800</v>
      </c>
      <c r="U128" s="4" t="s">
        <v>634</v>
      </c>
    </row>
    <row r="129" customFormat="false" ht="15" hidden="false" customHeight="false" outlineLevel="0" collapsed="false">
      <c r="A129" s="0" t="s">
        <v>635</v>
      </c>
      <c r="B129" s="0" t="s">
        <v>636</v>
      </c>
      <c r="C129" s="0" t="s">
        <v>39</v>
      </c>
      <c r="D129" s="0" t="s">
        <v>53</v>
      </c>
      <c r="E129" s="0" t="s">
        <v>105</v>
      </c>
      <c r="F129" s="0" t="s">
        <v>29</v>
      </c>
      <c r="G129" s="0" t="s">
        <v>637</v>
      </c>
      <c r="H129" s="0" t="s">
        <v>86</v>
      </c>
      <c r="I129" s="0" t="s">
        <v>638</v>
      </c>
      <c r="J129" s="0" t="s">
        <v>59</v>
      </c>
      <c r="K129" s="0" t="n">
        <v>3</v>
      </c>
      <c r="L129" s="0" t="n">
        <v>2</v>
      </c>
      <c r="M129" s="0" t="n">
        <v>3</v>
      </c>
      <c r="N129" s="0" t="n">
        <v>1</v>
      </c>
      <c r="O129" s="0" t="n">
        <f aca="false">SUM(K129:N129)</f>
        <v>9</v>
      </c>
      <c r="P129" s="0" t="str">
        <f aca="false">IF(O129&gt;=15,"Yes","No")</f>
        <v>No</v>
      </c>
      <c r="Q129" s="0" t="s">
        <v>159</v>
      </c>
      <c r="R129" s="2" t="n">
        <v>571000</v>
      </c>
      <c r="S129" s="3" t="n">
        <v>0.05</v>
      </c>
      <c r="T129" s="2" t="n">
        <f aca="false">R129*S129</f>
        <v>28550</v>
      </c>
      <c r="U129" s="4" t="s">
        <v>624</v>
      </c>
    </row>
    <row r="130" customFormat="false" ht="15" hidden="false" customHeight="false" outlineLevel="0" collapsed="false">
      <c r="A130" s="0" t="s">
        <v>639</v>
      </c>
      <c r="B130" s="0" t="s">
        <v>473</v>
      </c>
      <c r="C130" s="0" t="s">
        <v>26</v>
      </c>
      <c r="D130" s="0" t="s">
        <v>53</v>
      </c>
      <c r="E130" s="0" t="s">
        <v>195</v>
      </c>
      <c r="F130" s="0" t="s">
        <v>112</v>
      </c>
      <c r="G130" s="0" t="s">
        <v>640</v>
      </c>
      <c r="H130" s="0" t="s">
        <v>248</v>
      </c>
      <c r="I130" s="0" t="s">
        <v>577</v>
      </c>
      <c r="J130" s="0" t="s">
        <v>45</v>
      </c>
      <c r="K130" s="0" t="n">
        <v>2</v>
      </c>
      <c r="L130" s="0" t="n">
        <v>3</v>
      </c>
      <c r="M130" s="0" t="n">
        <v>3</v>
      </c>
      <c r="N130" s="0" t="n">
        <v>3</v>
      </c>
      <c r="O130" s="0" t="n">
        <f aca="false">SUM(K130:N130)</f>
        <v>11</v>
      </c>
      <c r="P130" s="0" t="str">
        <f aca="false">IF(O130&gt;=15,"Yes","No")</f>
        <v>No</v>
      </c>
      <c r="Q130" s="0" t="s">
        <v>60</v>
      </c>
      <c r="R130" s="2" t="n">
        <v>812000</v>
      </c>
      <c r="S130" s="3" t="n">
        <v>0.15</v>
      </c>
      <c r="T130" s="2" t="n">
        <f aca="false">R130*S130</f>
        <v>121800</v>
      </c>
      <c r="U130" s="4" t="s">
        <v>485</v>
      </c>
    </row>
    <row r="131" customFormat="false" ht="15" hidden="false" customHeight="false" outlineLevel="0" collapsed="false">
      <c r="A131" s="0" t="s">
        <v>641</v>
      </c>
      <c r="B131" s="0" t="s">
        <v>567</v>
      </c>
      <c r="C131" s="0" t="s">
        <v>74</v>
      </c>
      <c r="D131" s="0" t="s">
        <v>27</v>
      </c>
      <c r="E131" s="0" t="s">
        <v>54</v>
      </c>
      <c r="F131" s="0" t="s">
        <v>55</v>
      </c>
      <c r="G131" s="0" t="s">
        <v>642</v>
      </c>
      <c r="H131" s="0" t="s">
        <v>67</v>
      </c>
      <c r="I131" s="0" t="s">
        <v>643</v>
      </c>
      <c r="J131" s="0" t="s">
        <v>69</v>
      </c>
      <c r="K131" s="0" t="n">
        <v>1</v>
      </c>
      <c r="L131" s="0" t="n">
        <v>3</v>
      </c>
      <c r="M131" s="0" t="n">
        <v>3</v>
      </c>
      <c r="N131" s="0" t="n">
        <v>3</v>
      </c>
      <c r="O131" s="0" t="n">
        <f aca="false">SUM(K131:N131)</f>
        <v>10</v>
      </c>
      <c r="P131" s="0" t="str">
        <f aca="false">IF(O131&gt;=15,"Yes","No")</f>
        <v>No</v>
      </c>
      <c r="Q131" s="0" t="s">
        <v>115</v>
      </c>
      <c r="R131" s="2" t="n">
        <v>209000</v>
      </c>
      <c r="S131" s="3" t="n">
        <v>0.35</v>
      </c>
      <c r="T131" s="2" t="n">
        <f aca="false">R131*S131</f>
        <v>73150</v>
      </c>
      <c r="U131" s="4" t="s">
        <v>644</v>
      </c>
    </row>
    <row r="132" customFormat="false" ht="15" hidden="false" customHeight="false" outlineLevel="0" collapsed="false">
      <c r="A132" s="0" t="s">
        <v>645</v>
      </c>
      <c r="B132" s="0" t="s">
        <v>646</v>
      </c>
      <c r="C132" s="0" t="s">
        <v>74</v>
      </c>
      <c r="D132" s="0" t="s">
        <v>53</v>
      </c>
      <c r="E132" s="0" t="s">
        <v>105</v>
      </c>
      <c r="F132" s="0" t="s">
        <v>29</v>
      </c>
      <c r="G132" s="0" t="s">
        <v>647</v>
      </c>
      <c r="H132" s="0" t="s">
        <v>86</v>
      </c>
      <c r="I132" s="0" t="s">
        <v>254</v>
      </c>
      <c r="J132" s="0" t="s">
        <v>45</v>
      </c>
      <c r="K132" s="0" t="n">
        <v>2</v>
      </c>
      <c r="L132" s="0" t="n">
        <v>2</v>
      </c>
      <c r="M132" s="0" t="n">
        <v>1</v>
      </c>
      <c r="N132" s="0" t="n">
        <v>2</v>
      </c>
      <c r="O132" s="0" t="n">
        <f aca="false">SUM(K132:N132)</f>
        <v>7</v>
      </c>
      <c r="P132" s="0" t="str">
        <f aca="false">IF(O132&gt;=15,"Yes","No")</f>
        <v>No</v>
      </c>
      <c r="Q132" s="0" t="s">
        <v>60</v>
      </c>
      <c r="R132" s="2" t="n">
        <v>510000</v>
      </c>
      <c r="S132" s="3" t="n">
        <v>0.15</v>
      </c>
      <c r="T132" s="2" t="n">
        <f aca="false">R132*S132</f>
        <v>76500</v>
      </c>
      <c r="U132" s="4" t="s">
        <v>648</v>
      </c>
    </row>
    <row r="133" customFormat="false" ht="15" hidden="false" customHeight="false" outlineLevel="0" collapsed="false">
      <c r="A133" s="0" t="s">
        <v>649</v>
      </c>
      <c r="B133" s="0" t="s">
        <v>118</v>
      </c>
      <c r="C133" s="0" t="s">
        <v>129</v>
      </c>
      <c r="D133" s="0" t="s">
        <v>27</v>
      </c>
      <c r="E133" s="0" t="s">
        <v>54</v>
      </c>
      <c r="F133" s="0" t="s">
        <v>112</v>
      </c>
      <c r="G133" s="0" t="s">
        <v>591</v>
      </c>
      <c r="H133" s="0" t="s">
        <v>86</v>
      </c>
      <c r="I133" s="0" t="s">
        <v>650</v>
      </c>
      <c r="J133" s="0" t="s">
        <v>78</v>
      </c>
      <c r="K133" s="0" t="n">
        <v>2</v>
      </c>
      <c r="L133" s="0" t="n">
        <v>3</v>
      </c>
      <c r="M133" s="0" t="n">
        <v>1</v>
      </c>
      <c r="N133" s="0" t="n">
        <v>1</v>
      </c>
      <c r="O133" s="0" t="n">
        <f aca="false">SUM(K133:N133)</f>
        <v>7</v>
      </c>
      <c r="P133" s="0" t="str">
        <f aca="false">IF(O133&gt;=15,"Yes","No")</f>
        <v>No</v>
      </c>
      <c r="Q133" s="0" t="s">
        <v>60</v>
      </c>
      <c r="R133" s="2" t="n">
        <v>139000</v>
      </c>
      <c r="S133" s="3" t="n">
        <v>0.15</v>
      </c>
      <c r="T133" s="2" t="n">
        <f aca="false">R133*S133</f>
        <v>20850</v>
      </c>
      <c r="U133" s="4" t="s">
        <v>339</v>
      </c>
    </row>
    <row r="134" customFormat="false" ht="15" hidden="false" customHeight="false" outlineLevel="0" collapsed="false">
      <c r="A134" s="0" t="s">
        <v>651</v>
      </c>
      <c r="B134" s="0" t="s">
        <v>381</v>
      </c>
      <c r="C134" s="0" t="s">
        <v>129</v>
      </c>
      <c r="D134" s="0" t="s">
        <v>27</v>
      </c>
      <c r="E134" s="0" t="s">
        <v>136</v>
      </c>
      <c r="F134" s="0" t="s">
        <v>75</v>
      </c>
      <c r="G134" s="0" t="s">
        <v>137</v>
      </c>
      <c r="H134" s="0" t="s">
        <v>67</v>
      </c>
      <c r="I134" s="0" t="s">
        <v>652</v>
      </c>
      <c r="J134" s="0" t="s">
        <v>59</v>
      </c>
      <c r="K134" s="0" t="n">
        <v>4</v>
      </c>
      <c r="L134" s="0" t="n">
        <v>3</v>
      </c>
      <c r="M134" s="0" t="n">
        <v>4</v>
      </c>
      <c r="N134" s="0" t="n">
        <v>2</v>
      </c>
      <c r="O134" s="0" t="n">
        <f aca="false">SUM(K134:N134)</f>
        <v>13</v>
      </c>
      <c r="P134" s="0" t="str">
        <f aca="false">IF(O134&gt;=15,"Yes","No")</f>
        <v>No</v>
      </c>
      <c r="Q134" s="0" t="s">
        <v>34</v>
      </c>
      <c r="R134" s="2" t="n">
        <v>163000</v>
      </c>
      <c r="S134" s="3" t="n">
        <v>1</v>
      </c>
      <c r="T134" s="2" t="n">
        <f aca="false">R134*S134</f>
        <v>163000</v>
      </c>
      <c r="U134" s="4" t="s">
        <v>653</v>
      </c>
      <c r="V134" s="4" t="s">
        <v>125</v>
      </c>
      <c r="W134" s="0" t="n">
        <v>35</v>
      </c>
    </row>
    <row r="135" customFormat="false" ht="15" hidden="false" customHeight="false" outlineLevel="0" collapsed="false">
      <c r="A135" s="0" t="s">
        <v>654</v>
      </c>
      <c r="B135" s="0" t="s">
        <v>655</v>
      </c>
      <c r="C135" s="0" t="s">
        <v>39</v>
      </c>
      <c r="D135" s="0" t="s">
        <v>27</v>
      </c>
      <c r="E135" s="0" t="s">
        <v>40</v>
      </c>
      <c r="F135" s="0" t="s">
        <v>179</v>
      </c>
      <c r="G135" s="0" t="s">
        <v>656</v>
      </c>
      <c r="H135" s="0" t="s">
        <v>86</v>
      </c>
      <c r="I135" s="0" t="s">
        <v>267</v>
      </c>
      <c r="J135" s="0" t="s">
        <v>78</v>
      </c>
      <c r="K135" s="0" t="n">
        <v>3</v>
      </c>
      <c r="L135" s="0" t="n">
        <v>1</v>
      </c>
      <c r="M135" s="0" t="n">
        <v>3</v>
      </c>
      <c r="N135" s="0" t="n">
        <v>1</v>
      </c>
      <c r="O135" s="0" t="n">
        <f aca="false">SUM(K135:N135)</f>
        <v>8</v>
      </c>
      <c r="P135" s="0" t="str">
        <f aca="false">IF(O135&gt;=15,"Yes","No")</f>
        <v>No</v>
      </c>
      <c r="Q135" s="0" t="s">
        <v>60</v>
      </c>
      <c r="R135" s="2" t="n">
        <v>205000</v>
      </c>
      <c r="S135" s="3" t="n">
        <v>0.15</v>
      </c>
      <c r="T135" s="2" t="n">
        <f aca="false">R135*S135</f>
        <v>30750</v>
      </c>
      <c r="U135" s="4" t="s">
        <v>657</v>
      </c>
    </row>
    <row r="136" customFormat="false" ht="15" hidden="false" customHeight="false" outlineLevel="0" collapsed="false">
      <c r="A136" s="0" t="s">
        <v>658</v>
      </c>
      <c r="B136" s="0" t="s">
        <v>659</v>
      </c>
      <c r="C136" s="0" t="s">
        <v>152</v>
      </c>
      <c r="D136" s="0" t="s">
        <v>64</v>
      </c>
      <c r="E136" s="0" t="s">
        <v>40</v>
      </c>
      <c r="F136" s="0" t="s">
        <v>75</v>
      </c>
      <c r="G136" s="0" t="s">
        <v>660</v>
      </c>
      <c r="H136" s="0" t="s">
        <v>86</v>
      </c>
      <c r="I136" s="0" t="s">
        <v>661</v>
      </c>
      <c r="J136" s="0" t="s">
        <v>33</v>
      </c>
      <c r="K136" s="0" t="n">
        <v>1</v>
      </c>
      <c r="L136" s="0" t="n">
        <v>1</v>
      </c>
      <c r="M136" s="0" t="n">
        <v>1</v>
      </c>
      <c r="N136" s="0" t="n">
        <v>2</v>
      </c>
      <c r="O136" s="0" t="n">
        <f aca="false">SUM(K136:N136)</f>
        <v>5</v>
      </c>
      <c r="P136" s="0" t="str">
        <f aca="false">IF(O136&gt;=15,"Yes","No")</f>
        <v>No</v>
      </c>
      <c r="Q136" s="0" t="s">
        <v>159</v>
      </c>
      <c r="R136" s="2" t="n">
        <v>2335000</v>
      </c>
      <c r="S136" s="3" t="n">
        <v>0.05</v>
      </c>
      <c r="T136" s="2" t="n">
        <f aca="false">R136*S136</f>
        <v>116750</v>
      </c>
      <c r="U136" s="4" t="s">
        <v>662</v>
      </c>
    </row>
    <row r="137" customFormat="false" ht="15" hidden="false" customHeight="false" outlineLevel="0" collapsed="false">
      <c r="A137" s="0" t="s">
        <v>663</v>
      </c>
      <c r="B137" s="0" t="s">
        <v>517</v>
      </c>
      <c r="C137" s="0" t="s">
        <v>39</v>
      </c>
      <c r="D137" s="0" t="s">
        <v>27</v>
      </c>
      <c r="E137" s="0" t="s">
        <v>136</v>
      </c>
      <c r="F137" s="0" t="s">
        <v>179</v>
      </c>
      <c r="G137" s="0" t="s">
        <v>664</v>
      </c>
      <c r="H137" s="0" t="s">
        <v>43</v>
      </c>
      <c r="I137" s="0" t="s">
        <v>665</v>
      </c>
      <c r="J137" s="0" t="s">
        <v>69</v>
      </c>
      <c r="K137" s="0" t="n">
        <v>4</v>
      </c>
      <c r="L137" s="0" t="n">
        <v>4</v>
      </c>
      <c r="M137" s="0" t="n">
        <v>5</v>
      </c>
      <c r="N137" s="0" t="n">
        <v>4</v>
      </c>
      <c r="O137" s="0" t="n">
        <f aca="false">SUM(K137:N137)</f>
        <v>17</v>
      </c>
      <c r="P137" s="0" t="str">
        <f aca="false">IF(O137&gt;=15,"Yes","No")</f>
        <v>Yes</v>
      </c>
      <c r="Q137" s="0" t="s">
        <v>60</v>
      </c>
      <c r="R137" s="2" t="n">
        <v>143000</v>
      </c>
      <c r="S137" s="3" t="n">
        <v>0.15</v>
      </c>
      <c r="T137" s="2" t="n">
        <f aca="false">R137*S137</f>
        <v>21450</v>
      </c>
      <c r="U137" s="4" t="s">
        <v>666</v>
      </c>
    </row>
    <row r="138" customFormat="false" ht="15" hidden="false" customHeight="false" outlineLevel="0" collapsed="false">
      <c r="A138" s="0" t="s">
        <v>667</v>
      </c>
      <c r="B138" s="0" t="s">
        <v>668</v>
      </c>
      <c r="C138" s="0" t="s">
        <v>184</v>
      </c>
      <c r="D138" s="0" t="s">
        <v>53</v>
      </c>
      <c r="E138" s="0" t="s">
        <v>119</v>
      </c>
      <c r="F138" s="0" t="s">
        <v>29</v>
      </c>
      <c r="G138" s="0" t="s">
        <v>669</v>
      </c>
      <c r="H138" s="0" t="s">
        <v>86</v>
      </c>
      <c r="I138" s="0" t="s">
        <v>670</v>
      </c>
      <c r="J138" s="0" t="s">
        <v>33</v>
      </c>
      <c r="K138" s="0" t="n">
        <v>3</v>
      </c>
      <c r="L138" s="0" t="n">
        <v>2</v>
      </c>
      <c r="M138" s="0" t="n">
        <v>2</v>
      </c>
      <c r="N138" s="0" t="n">
        <v>1</v>
      </c>
      <c r="O138" s="0" t="n">
        <f aca="false">SUM(K138:N138)</f>
        <v>8</v>
      </c>
      <c r="P138" s="0" t="str">
        <f aca="false">IF(O138&gt;=15,"Yes","No")</f>
        <v>No</v>
      </c>
      <c r="Q138" s="0" t="s">
        <v>60</v>
      </c>
      <c r="R138" s="2" t="n">
        <v>681000</v>
      </c>
      <c r="S138" s="3" t="n">
        <v>0.15</v>
      </c>
      <c r="T138" s="2" t="n">
        <f aca="false">R138*S138</f>
        <v>102150</v>
      </c>
      <c r="U138" s="4" t="s">
        <v>671</v>
      </c>
    </row>
    <row r="139" customFormat="false" ht="15" hidden="false" customHeight="false" outlineLevel="0" collapsed="false">
      <c r="A139" s="0" t="s">
        <v>672</v>
      </c>
      <c r="B139" s="0" t="s">
        <v>673</v>
      </c>
      <c r="C139" s="0" t="s">
        <v>39</v>
      </c>
      <c r="D139" s="0" t="s">
        <v>27</v>
      </c>
      <c r="E139" s="0" t="s">
        <v>54</v>
      </c>
      <c r="F139" s="0" t="s">
        <v>29</v>
      </c>
      <c r="G139" s="0" t="s">
        <v>674</v>
      </c>
      <c r="H139" s="0" t="s">
        <v>31</v>
      </c>
      <c r="I139" s="0" t="s">
        <v>675</v>
      </c>
      <c r="J139" s="0" t="s">
        <v>78</v>
      </c>
      <c r="K139" s="0" t="n">
        <v>1</v>
      </c>
      <c r="L139" s="0" t="n">
        <v>4</v>
      </c>
      <c r="M139" s="0" t="n">
        <v>4</v>
      </c>
      <c r="N139" s="0" t="n">
        <v>2</v>
      </c>
      <c r="O139" s="0" t="n">
        <f aca="false">SUM(K139:N139)</f>
        <v>11</v>
      </c>
      <c r="P139" s="0" t="str">
        <f aca="false">IF(O139&gt;=15,"Yes","No")</f>
        <v>No</v>
      </c>
      <c r="Q139" s="0" t="s">
        <v>159</v>
      </c>
      <c r="R139" s="2" t="n">
        <v>222000</v>
      </c>
      <c r="S139" s="3" t="n">
        <v>0.05</v>
      </c>
      <c r="T139" s="2" t="n">
        <f aca="false">R139*S139</f>
        <v>11100</v>
      </c>
      <c r="U139" s="4" t="s">
        <v>175</v>
      </c>
    </row>
    <row r="140" customFormat="false" ht="15" hidden="false" customHeight="false" outlineLevel="0" collapsed="false">
      <c r="A140" s="0" t="s">
        <v>676</v>
      </c>
      <c r="B140" s="0" t="s">
        <v>677</v>
      </c>
      <c r="C140" s="0" t="s">
        <v>52</v>
      </c>
      <c r="D140" s="0" t="s">
        <v>53</v>
      </c>
      <c r="E140" s="0" t="s">
        <v>65</v>
      </c>
      <c r="F140" s="0" t="s">
        <v>179</v>
      </c>
      <c r="G140" s="0" t="s">
        <v>678</v>
      </c>
      <c r="H140" s="0" t="s">
        <v>67</v>
      </c>
      <c r="I140" s="0" t="s">
        <v>679</v>
      </c>
      <c r="J140" s="0" t="s">
        <v>59</v>
      </c>
      <c r="K140" s="0" t="n">
        <v>3</v>
      </c>
      <c r="L140" s="0" t="n">
        <v>2</v>
      </c>
      <c r="M140" s="0" t="n">
        <v>3</v>
      </c>
      <c r="N140" s="0" t="n">
        <v>3</v>
      </c>
      <c r="O140" s="0" t="n">
        <f aca="false">SUM(K140:N140)</f>
        <v>11</v>
      </c>
      <c r="P140" s="0" t="str">
        <f aca="false">IF(O140&gt;=15,"Yes","No")</f>
        <v>No</v>
      </c>
      <c r="Q140" s="0" t="s">
        <v>60</v>
      </c>
      <c r="R140" s="2" t="n">
        <v>601000</v>
      </c>
      <c r="S140" s="3" t="n">
        <v>0.15</v>
      </c>
      <c r="T140" s="2" t="n">
        <f aca="false">R140*S140</f>
        <v>90150</v>
      </c>
      <c r="U140" s="4" t="s">
        <v>680</v>
      </c>
    </row>
    <row r="141" customFormat="false" ht="15" hidden="false" customHeight="false" outlineLevel="0" collapsed="false">
      <c r="A141" s="0" t="s">
        <v>681</v>
      </c>
      <c r="B141" s="0" t="s">
        <v>73</v>
      </c>
      <c r="C141" s="0" t="s">
        <v>26</v>
      </c>
      <c r="D141" s="0" t="s">
        <v>53</v>
      </c>
      <c r="E141" s="0" t="s">
        <v>40</v>
      </c>
      <c r="F141" s="0" t="s">
        <v>29</v>
      </c>
      <c r="G141" s="0" t="s">
        <v>682</v>
      </c>
      <c r="H141" s="0" t="s">
        <v>43</v>
      </c>
      <c r="I141" s="0" t="s">
        <v>683</v>
      </c>
      <c r="J141" s="0" t="s">
        <v>45</v>
      </c>
      <c r="K141" s="0" t="n">
        <v>5</v>
      </c>
      <c r="L141" s="0" t="n">
        <v>2</v>
      </c>
      <c r="M141" s="0" t="n">
        <v>4</v>
      </c>
      <c r="N141" s="0" t="n">
        <v>3</v>
      </c>
      <c r="O141" s="0" t="n">
        <f aca="false">SUM(K141:N141)</f>
        <v>14</v>
      </c>
      <c r="P141" s="0" t="str">
        <f aca="false">IF(O141&gt;=15,"Yes","No")</f>
        <v>No</v>
      </c>
      <c r="Q141" s="0" t="s">
        <v>159</v>
      </c>
      <c r="R141" s="2" t="n">
        <v>899000</v>
      </c>
      <c r="S141" s="3" t="n">
        <v>0.05</v>
      </c>
      <c r="T141" s="2" t="n">
        <f aca="false">R141*S141</f>
        <v>44950</v>
      </c>
      <c r="U141" s="4" t="s">
        <v>643</v>
      </c>
    </row>
    <row r="142" customFormat="false" ht="15" hidden="false" customHeight="false" outlineLevel="0" collapsed="false">
      <c r="A142" s="0" t="s">
        <v>684</v>
      </c>
      <c r="B142" s="0" t="s">
        <v>685</v>
      </c>
      <c r="C142" s="0" t="s">
        <v>52</v>
      </c>
      <c r="D142" s="0" t="s">
        <v>27</v>
      </c>
      <c r="E142" s="0" t="s">
        <v>322</v>
      </c>
      <c r="F142" s="0" t="s">
        <v>153</v>
      </c>
      <c r="G142" s="0" t="s">
        <v>498</v>
      </c>
      <c r="H142" s="0" t="s">
        <v>31</v>
      </c>
      <c r="I142" s="0" t="s">
        <v>534</v>
      </c>
      <c r="J142" s="0" t="s">
        <v>59</v>
      </c>
      <c r="K142" s="0" t="n">
        <v>3</v>
      </c>
      <c r="L142" s="0" t="n">
        <v>2</v>
      </c>
      <c r="M142" s="0" t="n">
        <v>4</v>
      </c>
      <c r="N142" s="0" t="n">
        <v>2</v>
      </c>
      <c r="O142" s="0" t="n">
        <f aca="false">SUM(K142:N142)</f>
        <v>11</v>
      </c>
      <c r="P142" s="0" t="str">
        <f aca="false">IF(O142&gt;=15,"Yes","No")</f>
        <v>No</v>
      </c>
      <c r="Q142" s="0" t="s">
        <v>159</v>
      </c>
      <c r="R142" s="2" t="n">
        <v>249000</v>
      </c>
      <c r="S142" s="3" t="n">
        <v>0.05</v>
      </c>
      <c r="T142" s="2" t="n">
        <f aca="false">R142*S142</f>
        <v>12450</v>
      </c>
      <c r="U142" s="4" t="s">
        <v>442</v>
      </c>
    </row>
    <row r="143" customFormat="false" ht="15" hidden="false" customHeight="false" outlineLevel="0" collapsed="false">
      <c r="A143" s="0" t="s">
        <v>686</v>
      </c>
      <c r="B143" s="0" t="s">
        <v>172</v>
      </c>
      <c r="C143" s="0" t="s">
        <v>74</v>
      </c>
      <c r="D143" s="0" t="s">
        <v>53</v>
      </c>
      <c r="E143" s="0" t="s">
        <v>105</v>
      </c>
      <c r="F143" s="0" t="s">
        <v>153</v>
      </c>
      <c r="G143" s="0" t="s">
        <v>687</v>
      </c>
      <c r="H143" s="0" t="s">
        <v>86</v>
      </c>
      <c r="I143" s="0" t="s">
        <v>688</v>
      </c>
      <c r="J143" s="0" t="s">
        <v>45</v>
      </c>
      <c r="K143" s="0" t="n">
        <v>1</v>
      </c>
      <c r="L143" s="0" t="n">
        <v>2</v>
      </c>
      <c r="M143" s="0" t="n">
        <v>3</v>
      </c>
      <c r="N143" s="0" t="n">
        <v>1</v>
      </c>
      <c r="O143" s="0" t="n">
        <f aca="false">SUM(K143:N143)</f>
        <v>7</v>
      </c>
      <c r="P143" s="0" t="str">
        <f aca="false">IF(O143&gt;=15,"Yes","No")</f>
        <v>No</v>
      </c>
      <c r="Q143" s="0" t="s">
        <v>46</v>
      </c>
      <c r="R143" s="2" t="n">
        <v>850000</v>
      </c>
      <c r="S143" s="3" t="n">
        <v>0</v>
      </c>
      <c r="T143" s="2" t="n">
        <f aca="false">R143*S143</f>
        <v>0</v>
      </c>
      <c r="U143" s="4" t="s">
        <v>689</v>
      </c>
      <c r="V143" s="4" t="s">
        <v>690</v>
      </c>
      <c r="W143" s="0" t="n">
        <v>16</v>
      </c>
      <c r="X143" s="4" t="s">
        <v>326</v>
      </c>
    </row>
    <row r="144" customFormat="false" ht="15" hidden="false" customHeight="false" outlineLevel="0" collapsed="false">
      <c r="A144" s="0" t="s">
        <v>691</v>
      </c>
      <c r="B144" s="0" t="s">
        <v>692</v>
      </c>
      <c r="C144" s="0" t="s">
        <v>39</v>
      </c>
      <c r="D144" s="0" t="s">
        <v>27</v>
      </c>
      <c r="E144" s="0" t="s">
        <v>322</v>
      </c>
      <c r="F144" s="0" t="s">
        <v>179</v>
      </c>
      <c r="G144" s="0" t="s">
        <v>693</v>
      </c>
      <c r="H144" s="0" t="s">
        <v>67</v>
      </c>
      <c r="I144" s="0" t="s">
        <v>694</v>
      </c>
      <c r="J144" s="0" t="s">
        <v>59</v>
      </c>
      <c r="K144" s="0" t="n">
        <v>2</v>
      </c>
      <c r="L144" s="0" t="n">
        <v>1</v>
      </c>
      <c r="M144" s="0" t="n">
        <v>3</v>
      </c>
      <c r="N144" s="0" t="n">
        <v>4</v>
      </c>
      <c r="O144" s="0" t="n">
        <f aca="false">SUM(K144:N144)</f>
        <v>10</v>
      </c>
      <c r="P144" s="0" t="str">
        <f aca="false">IF(O144&gt;=15,"Yes","No")</f>
        <v>No</v>
      </c>
      <c r="Q144" s="0" t="s">
        <v>34</v>
      </c>
      <c r="R144" s="2" t="n">
        <v>174000</v>
      </c>
      <c r="S144" s="3" t="n">
        <v>1</v>
      </c>
      <c r="T144" s="2" t="n">
        <f aca="false">R144*S144</f>
        <v>174000</v>
      </c>
      <c r="U144" s="4" t="s">
        <v>695</v>
      </c>
      <c r="V144" s="4" t="s">
        <v>696</v>
      </c>
      <c r="W144" s="0" t="n">
        <v>35</v>
      </c>
    </row>
    <row r="145" customFormat="false" ht="15" hidden="false" customHeight="false" outlineLevel="0" collapsed="false">
      <c r="A145" s="0" t="s">
        <v>697</v>
      </c>
      <c r="B145" s="0" t="s">
        <v>305</v>
      </c>
      <c r="C145" s="0" t="s">
        <v>74</v>
      </c>
      <c r="D145" s="0" t="s">
        <v>27</v>
      </c>
      <c r="E145" s="0" t="s">
        <v>84</v>
      </c>
      <c r="F145" s="0" t="s">
        <v>75</v>
      </c>
      <c r="G145" s="0" t="s">
        <v>518</v>
      </c>
      <c r="H145" s="0" t="s">
        <v>31</v>
      </c>
      <c r="I145" s="0" t="s">
        <v>515</v>
      </c>
      <c r="J145" s="0" t="s">
        <v>45</v>
      </c>
      <c r="K145" s="0" t="n">
        <v>3</v>
      </c>
      <c r="L145" s="0" t="n">
        <v>4</v>
      </c>
      <c r="M145" s="0" t="n">
        <v>3</v>
      </c>
      <c r="N145" s="0" t="n">
        <v>3</v>
      </c>
      <c r="O145" s="0" t="n">
        <f aca="false">SUM(K145:N145)</f>
        <v>13</v>
      </c>
      <c r="P145" s="0" t="str">
        <f aca="false">IF(O145&gt;=15,"Yes","No")</f>
        <v>No</v>
      </c>
      <c r="Q145" s="0" t="s">
        <v>159</v>
      </c>
      <c r="R145" s="2" t="n">
        <v>214000</v>
      </c>
      <c r="S145" s="3" t="n">
        <v>0.05</v>
      </c>
      <c r="T145" s="2" t="n">
        <f aca="false">R145*S145</f>
        <v>10700</v>
      </c>
      <c r="U145" s="4" t="s">
        <v>698</v>
      </c>
    </row>
    <row r="146" customFormat="false" ht="15" hidden="false" customHeight="false" outlineLevel="0" collapsed="false">
      <c r="A146" s="0" t="s">
        <v>699</v>
      </c>
      <c r="B146" s="0" t="s">
        <v>700</v>
      </c>
      <c r="C146" s="0" t="s">
        <v>26</v>
      </c>
      <c r="D146" s="0" t="s">
        <v>64</v>
      </c>
      <c r="E146" s="0" t="s">
        <v>178</v>
      </c>
      <c r="F146" s="0" t="s">
        <v>75</v>
      </c>
      <c r="G146" s="0" t="s">
        <v>701</v>
      </c>
      <c r="H146" s="0" t="s">
        <v>248</v>
      </c>
      <c r="I146" s="0" t="s">
        <v>702</v>
      </c>
      <c r="J146" s="0" t="s">
        <v>78</v>
      </c>
      <c r="K146" s="0" t="n">
        <v>3</v>
      </c>
      <c r="L146" s="0" t="n">
        <v>2</v>
      </c>
      <c r="M146" s="0" t="n">
        <v>3</v>
      </c>
      <c r="N146" s="0" t="n">
        <v>1</v>
      </c>
      <c r="O146" s="0" t="n">
        <f aca="false">SUM(K146:N146)</f>
        <v>9</v>
      </c>
      <c r="P146" s="0" t="str">
        <f aca="false">IF(O146&gt;=15,"Yes","No")</f>
        <v>No</v>
      </c>
      <c r="Q146" s="0" t="s">
        <v>34</v>
      </c>
      <c r="R146" s="2" t="n">
        <v>1848000</v>
      </c>
      <c r="S146" s="3" t="n">
        <v>1</v>
      </c>
      <c r="T146" s="2" t="n">
        <f aca="false">R146*S146</f>
        <v>1848000</v>
      </c>
      <c r="U146" s="4" t="s">
        <v>703</v>
      </c>
      <c r="V146" s="4" t="s">
        <v>704</v>
      </c>
      <c r="W146" s="0" t="n">
        <v>44</v>
      </c>
    </row>
    <row r="147" customFormat="false" ht="15" hidden="false" customHeight="false" outlineLevel="0" collapsed="false">
      <c r="A147" s="0" t="s">
        <v>705</v>
      </c>
      <c r="B147" s="0" t="s">
        <v>692</v>
      </c>
      <c r="C147" s="0" t="s">
        <v>26</v>
      </c>
      <c r="D147" s="0" t="s">
        <v>27</v>
      </c>
      <c r="E147" s="0" t="s">
        <v>119</v>
      </c>
      <c r="F147" s="0" t="s">
        <v>112</v>
      </c>
      <c r="G147" s="0" t="s">
        <v>706</v>
      </c>
      <c r="H147" s="0" t="s">
        <v>57</v>
      </c>
      <c r="I147" s="0" t="s">
        <v>222</v>
      </c>
      <c r="J147" s="0" t="s">
        <v>78</v>
      </c>
      <c r="K147" s="0" t="n">
        <v>1</v>
      </c>
      <c r="L147" s="0" t="n">
        <v>1</v>
      </c>
      <c r="M147" s="0" t="n">
        <v>4</v>
      </c>
      <c r="N147" s="0" t="n">
        <v>3</v>
      </c>
      <c r="O147" s="0" t="n">
        <f aca="false">SUM(K147:N147)</f>
        <v>9</v>
      </c>
      <c r="P147" s="0" t="str">
        <f aca="false">IF(O147&gt;=15,"Yes","No")</f>
        <v>No</v>
      </c>
      <c r="Q147" s="0" t="s">
        <v>159</v>
      </c>
      <c r="R147" s="2" t="n">
        <v>142000</v>
      </c>
      <c r="S147" s="3" t="n">
        <v>0.05</v>
      </c>
      <c r="T147" s="2" t="n">
        <f aca="false">R147*S147</f>
        <v>7100</v>
      </c>
      <c r="U147" s="4" t="s">
        <v>565</v>
      </c>
    </row>
    <row r="148" customFormat="false" ht="15" hidden="false" customHeight="false" outlineLevel="0" collapsed="false">
      <c r="A148" s="0" t="s">
        <v>707</v>
      </c>
      <c r="B148" s="0" t="s">
        <v>708</v>
      </c>
      <c r="C148" s="0" t="s">
        <v>129</v>
      </c>
      <c r="D148" s="0" t="s">
        <v>53</v>
      </c>
      <c r="E148" s="0" t="s">
        <v>111</v>
      </c>
      <c r="F148" s="0" t="s">
        <v>153</v>
      </c>
      <c r="G148" s="0" t="s">
        <v>583</v>
      </c>
      <c r="H148" s="0" t="s">
        <v>86</v>
      </c>
      <c r="I148" s="0" t="s">
        <v>186</v>
      </c>
      <c r="J148" s="0" t="s">
        <v>33</v>
      </c>
      <c r="K148" s="0" t="n">
        <v>3</v>
      </c>
      <c r="L148" s="0" t="n">
        <v>2</v>
      </c>
      <c r="M148" s="0" t="n">
        <v>1</v>
      </c>
      <c r="N148" s="0" t="n">
        <v>3</v>
      </c>
      <c r="O148" s="0" t="n">
        <f aca="false">SUM(K148:N148)</f>
        <v>9</v>
      </c>
      <c r="P148" s="0" t="str">
        <f aca="false">IF(O148&gt;=15,"Yes","No")</f>
        <v>No</v>
      </c>
      <c r="Q148" s="0" t="s">
        <v>46</v>
      </c>
      <c r="R148" s="2" t="n">
        <v>835000</v>
      </c>
      <c r="S148" s="3" t="n">
        <v>0</v>
      </c>
      <c r="T148" s="2" t="n">
        <f aca="false">R148*S148</f>
        <v>0</v>
      </c>
      <c r="U148" s="4" t="s">
        <v>709</v>
      </c>
      <c r="V148" s="4" t="s">
        <v>614</v>
      </c>
      <c r="W148" s="0" t="n">
        <v>25</v>
      </c>
      <c r="X148" s="4" t="s">
        <v>81</v>
      </c>
    </row>
    <row r="149" customFormat="false" ht="15" hidden="false" customHeight="false" outlineLevel="0" collapsed="false">
      <c r="A149" s="0" t="s">
        <v>710</v>
      </c>
      <c r="B149" s="0" t="s">
        <v>453</v>
      </c>
      <c r="C149" s="0" t="s">
        <v>74</v>
      </c>
      <c r="D149" s="0" t="s">
        <v>53</v>
      </c>
      <c r="E149" s="0" t="s">
        <v>65</v>
      </c>
      <c r="F149" s="0" t="s">
        <v>29</v>
      </c>
      <c r="G149" s="0" t="s">
        <v>465</v>
      </c>
      <c r="H149" s="0" t="s">
        <v>43</v>
      </c>
      <c r="I149" s="0" t="s">
        <v>711</v>
      </c>
      <c r="J149" s="0" t="s">
        <v>33</v>
      </c>
      <c r="K149" s="0" t="n">
        <v>3</v>
      </c>
      <c r="L149" s="0" t="n">
        <v>4</v>
      </c>
      <c r="M149" s="0" t="n">
        <v>5</v>
      </c>
      <c r="N149" s="0" t="n">
        <v>2</v>
      </c>
      <c r="O149" s="0" t="n">
        <f aca="false">SUM(K149:N149)</f>
        <v>14</v>
      </c>
      <c r="P149" s="0" t="str">
        <f aca="false">IF(O149&gt;=15,"Yes","No")</f>
        <v>No</v>
      </c>
      <c r="Q149" s="0" t="s">
        <v>159</v>
      </c>
      <c r="R149" s="2" t="n">
        <v>721000</v>
      </c>
      <c r="S149" s="3" t="n">
        <v>0.05</v>
      </c>
      <c r="T149" s="2" t="n">
        <f aca="false">R149*S149</f>
        <v>36050</v>
      </c>
      <c r="U149" s="4" t="s">
        <v>71</v>
      </c>
    </row>
    <row r="150" customFormat="false" ht="15" hidden="false" customHeight="false" outlineLevel="0" collapsed="false">
      <c r="A150" s="0" t="s">
        <v>712</v>
      </c>
      <c r="B150" s="0" t="s">
        <v>713</v>
      </c>
      <c r="C150" s="0" t="s">
        <v>39</v>
      </c>
      <c r="D150" s="0" t="s">
        <v>27</v>
      </c>
      <c r="E150" s="0" t="s">
        <v>92</v>
      </c>
      <c r="F150" s="0" t="s">
        <v>179</v>
      </c>
      <c r="G150" s="0" t="s">
        <v>231</v>
      </c>
      <c r="H150" s="0" t="s">
        <v>86</v>
      </c>
      <c r="I150" s="0" t="s">
        <v>132</v>
      </c>
      <c r="J150" s="0" t="s">
        <v>78</v>
      </c>
      <c r="K150" s="0" t="n">
        <v>2</v>
      </c>
      <c r="L150" s="0" t="n">
        <v>2</v>
      </c>
      <c r="M150" s="0" t="n">
        <v>1</v>
      </c>
      <c r="N150" s="0" t="n">
        <v>1</v>
      </c>
      <c r="O150" s="0" t="n">
        <f aca="false">SUM(K150:N150)</f>
        <v>6</v>
      </c>
      <c r="P150" s="0" t="str">
        <f aca="false">IF(O150&gt;=15,"Yes","No")</f>
        <v>No</v>
      </c>
      <c r="Q150" s="0" t="s">
        <v>60</v>
      </c>
      <c r="R150" s="2" t="n">
        <v>226000</v>
      </c>
      <c r="S150" s="3" t="n">
        <v>0.15</v>
      </c>
      <c r="T150" s="2" t="n">
        <f aca="false">R150*S150</f>
        <v>33900</v>
      </c>
      <c r="U150" s="4" t="s">
        <v>714</v>
      </c>
    </row>
    <row r="151" customFormat="false" ht="15" hidden="false" customHeight="false" outlineLevel="0" collapsed="false">
      <c r="A151" s="0" t="s">
        <v>715</v>
      </c>
      <c r="B151" s="0" t="s">
        <v>716</v>
      </c>
      <c r="C151" s="0" t="s">
        <v>39</v>
      </c>
      <c r="D151" s="0" t="s">
        <v>53</v>
      </c>
      <c r="E151" s="0" t="s">
        <v>136</v>
      </c>
      <c r="F151" s="0" t="s">
        <v>112</v>
      </c>
      <c r="G151" s="0" t="s">
        <v>717</v>
      </c>
      <c r="H151" s="0" t="s">
        <v>31</v>
      </c>
      <c r="I151" s="0" t="s">
        <v>718</v>
      </c>
      <c r="J151" s="0" t="s">
        <v>33</v>
      </c>
      <c r="K151" s="0" t="n">
        <v>2</v>
      </c>
      <c r="L151" s="0" t="n">
        <v>3</v>
      </c>
      <c r="M151" s="0" t="n">
        <v>3</v>
      </c>
      <c r="N151" s="0" t="n">
        <v>4</v>
      </c>
      <c r="O151" s="0" t="n">
        <f aca="false">SUM(K151:N151)</f>
        <v>12</v>
      </c>
      <c r="P151" s="0" t="str">
        <f aca="false">IF(O151&gt;=15,"Yes","No")</f>
        <v>No</v>
      </c>
      <c r="Q151" s="0" t="s">
        <v>159</v>
      </c>
      <c r="R151" s="2" t="n">
        <v>618000</v>
      </c>
      <c r="S151" s="3" t="n">
        <v>0.05</v>
      </c>
      <c r="T151" s="2" t="n">
        <f aca="false">R151*S151</f>
        <v>30900</v>
      </c>
      <c r="U151" s="4" t="s">
        <v>719</v>
      </c>
    </row>
    <row r="152" customFormat="false" ht="15" hidden="false" customHeight="false" outlineLevel="0" collapsed="false">
      <c r="A152" s="0" t="s">
        <v>720</v>
      </c>
      <c r="B152" s="0" t="s">
        <v>333</v>
      </c>
      <c r="C152" s="0" t="s">
        <v>39</v>
      </c>
      <c r="D152" s="0" t="s">
        <v>27</v>
      </c>
      <c r="E152" s="0" t="s">
        <v>322</v>
      </c>
      <c r="F152" s="0" t="s">
        <v>55</v>
      </c>
      <c r="G152" s="0" t="s">
        <v>721</v>
      </c>
      <c r="H152" s="0" t="s">
        <v>67</v>
      </c>
      <c r="I152" s="0" t="s">
        <v>722</v>
      </c>
      <c r="J152" s="0" t="s">
        <v>78</v>
      </c>
      <c r="K152" s="0" t="n">
        <v>1</v>
      </c>
      <c r="L152" s="0" t="n">
        <v>3</v>
      </c>
      <c r="M152" s="0" t="n">
        <v>4</v>
      </c>
      <c r="N152" s="0" t="n">
        <v>2</v>
      </c>
      <c r="O152" s="0" t="n">
        <f aca="false">SUM(K152:N152)</f>
        <v>10</v>
      </c>
      <c r="P152" s="0" t="str">
        <f aca="false">IF(O152&gt;=15,"Yes","No")</f>
        <v>No</v>
      </c>
      <c r="Q152" s="0" t="s">
        <v>115</v>
      </c>
      <c r="R152" s="2" t="n">
        <v>228000</v>
      </c>
      <c r="S152" s="3" t="n">
        <v>0.35</v>
      </c>
      <c r="T152" s="2" t="n">
        <f aca="false">R152*S152</f>
        <v>79800</v>
      </c>
      <c r="U152" s="4" t="s">
        <v>303</v>
      </c>
    </row>
    <row r="153" customFormat="false" ht="15" hidden="false" customHeight="false" outlineLevel="0" collapsed="false">
      <c r="A153" s="0" t="s">
        <v>723</v>
      </c>
      <c r="B153" s="0" t="s">
        <v>616</v>
      </c>
      <c r="C153" s="0" t="s">
        <v>26</v>
      </c>
      <c r="D153" s="0" t="s">
        <v>27</v>
      </c>
      <c r="E153" s="0" t="s">
        <v>195</v>
      </c>
      <c r="F153" s="0" t="s">
        <v>75</v>
      </c>
      <c r="G153" s="0" t="s">
        <v>568</v>
      </c>
      <c r="H153" s="0" t="s">
        <v>57</v>
      </c>
      <c r="I153" s="0" t="s">
        <v>724</v>
      </c>
      <c r="J153" s="0" t="s">
        <v>69</v>
      </c>
      <c r="K153" s="0" t="n">
        <v>1</v>
      </c>
      <c r="L153" s="0" t="n">
        <v>2</v>
      </c>
      <c r="M153" s="0" t="n">
        <v>1</v>
      </c>
      <c r="N153" s="0" t="n">
        <v>1</v>
      </c>
      <c r="O153" s="0" t="n">
        <f aca="false">SUM(K153:N153)</f>
        <v>5</v>
      </c>
      <c r="P153" s="0" t="str">
        <f aca="false">IF(O153&gt;=15,"Yes","No")</f>
        <v>No</v>
      </c>
      <c r="Q153" s="0" t="s">
        <v>46</v>
      </c>
      <c r="R153" s="2" t="n">
        <v>186000</v>
      </c>
      <c r="S153" s="3" t="n">
        <v>0</v>
      </c>
      <c r="T153" s="2" t="n">
        <f aca="false">R153*S153</f>
        <v>0</v>
      </c>
      <c r="U153" s="4" t="s">
        <v>725</v>
      </c>
      <c r="V153" s="4" t="s">
        <v>726</v>
      </c>
      <c r="W153" s="0" t="n">
        <v>17</v>
      </c>
      <c r="X153" s="4" t="s">
        <v>326</v>
      </c>
    </row>
    <row r="154" customFormat="false" ht="15" hidden="false" customHeight="false" outlineLevel="0" collapsed="false">
      <c r="A154" s="0" t="s">
        <v>727</v>
      </c>
      <c r="B154" s="0" t="s">
        <v>728</v>
      </c>
      <c r="C154" s="0" t="s">
        <v>74</v>
      </c>
      <c r="D154" s="0" t="s">
        <v>27</v>
      </c>
      <c r="E154" s="0" t="s">
        <v>99</v>
      </c>
      <c r="F154" s="0" t="s">
        <v>153</v>
      </c>
      <c r="G154" s="0" t="s">
        <v>729</v>
      </c>
      <c r="H154" s="0" t="s">
        <v>31</v>
      </c>
      <c r="I154" s="0" t="s">
        <v>405</v>
      </c>
      <c r="J154" s="0" t="s">
        <v>33</v>
      </c>
      <c r="K154" s="0" t="n">
        <v>4</v>
      </c>
      <c r="L154" s="0" t="n">
        <v>3</v>
      </c>
      <c r="M154" s="0" t="n">
        <v>5</v>
      </c>
      <c r="N154" s="0" t="n">
        <v>4</v>
      </c>
      <c r="O154" s="0" t="n">
        <f aca="false">SUM(K154:N154)</f>
        <v>16</v>
      </c>
      <c r="P154" s="0" t="str">
        <f aca="false">IF(O154&gt;=15,"Yes","No")</f>
        <v>Yes</v>
      </c>
      <c r="Q154" s="0" t="s">
        <v>60</v>
      </c>
      <c r="R154" s="2" t="n">
        <v>163000</v>
      </c>
      <c r="S154" s="3" t="n">
        <v>0.15</v>
      </c>
      <c r="T154" s="2" t="n">
        <f aca="false">R154*S154</f>
        <v>24450</v>
      </c>
      <c r="U154" s="4" t="s">
        <v>730</v>
      </c>
    </row>
    <row r="155" customFormat="false" ht="15" hidden="false" customHeight="false" outlineLevel="0" collapsed="false">
      <c r="A155" s="0" t="s">
        <v>731</v>
      </c>
      <c r="B155" s="0" t="s">
        <v>214</v>
      </c>
      <c r="C155" s="0" t="s">
        <v>129</v>
      </c>
      <c r="D155" s="0" t="s">
        <v>53</v>
      </c>
      <c r="E155" s="0" t="s">
        <v>92</v>
      </c>
      <c r="F155" s="0" t="s">
        <v>55</v>
      </c>
      <c r="G155" s="0" t="s">
        <v>732</v>
      </c>
      <c r="H155" s="0" t="s">
        <v>248</v>
      </c>
      <c r="I155" s="0" t="s">
        <v>733</v>
      </c>
      <c r="J155" s="0" t="s">
        <v>33</v>
      </c>
      <c r="K155" s="0" t="n">
        <v>3</v>
      </c>
      <c r="L155" s="0" t="n">
        <v>1</v>
      </c>
      <c r="M155" s="0" t="n">
        <v>3</v>
      </c>
      <c r="N155" s="0" t="n">
        <v>3</v>
      </c>
      <c r="O155" s="0" t="n">
        <f aca="false">SUM(K155:N155)</f>
        <v>10</v>
      </c>
      <c r="P155" s="0" t="str">
        <f aca="false">IF(O155&gt;=15,"Yes","No")</f>
        <v>No</v>
      </c>
      <c r="Q155" s="0" t="s">
        <v>159</v>
      </c>
      <c r="R155" s="2" t="n">
        <v>716000</v>
      </c>
      <c r="S155" s="3" t="n">
        <v>0.05</v>
      </c>
      <c r="T155" s="2" t="n">
        <f aca="false">R155*S155</f>
        <v>35800</v>
      </c>
      <c r="U155" s="4" t="s">
        <v>661</v>
      </c>
    </row>
    <row r="156" customFormat="false" ht="15" hidden="false" customHeight="false" outlineLevel="0" collapsed="false">
      <c r="A156" s="0" t="s">
        <v>734</v>
      </c>
      <c r="B156" s="0" t="s">
        <v>685</v>
      </c>
      <c r="C156" s="0" t="s">
        <v>74</v>
      </c>
      <c r="D156" s="0" t="s">
        <v>64</v>
      </c>
      <c r="E156" s="0" t="s">
        <v>92</v>
      </c>
      <c r="F156" s="0" t="s">
        <v>29</v>
      </c>
      <c r="G156" s="0" t="s">
        <v>735</v>
      </c>
      <c r="H156" s="0" t="s">
        <v>31</v>
      </c>
      <c r="I156" s="0" t="s">
        <v>736</v>
      </c>
      <c r="J156" s="0" t="s">
        <v>69</v>
      </c>
      <c r="K156" s="0" t="n">
        <v>4</v>
      </c>
      <c r="L156" s="0" t="n">
        <v>3</v>
      </c>
      <c r="M156" s="0" t="n">
        <v>1</v>
      </c>
      <c r="N156" s="0" t="n">
        <v>3</v>
      </c>
      <c r="O156" s="0" t="n">
        <f aca="false">SUM(K156:N156)</f>
        <v>11</v>
      </c>
      <c r="P156" s="0" t="str">
        <f aca="false">IF(O156&gt;=15,"Yes","No")</f>
        <v>No</v>
      </c>
      <c r="Q156" s="0" t="s">
        <v>46</v>
      </c>
      <c r="R156" s="2" t="n">
        <v>2588000</v>
      </c>
      <c r="S156" s="3" t="n">
        <v>0</v>
      </c>
      <c r="T156" s="2" t="n">
        <f aca="false">R156*S156</f>
        <v>0</v>
      </c>
      <c r="U156" s="4" t="s">
        <v>527</v>
      </c>
      <c r="V156" s="4" t="s">
        <v>737</v>
      </c>
      <c r="W156" s="0" t="n">
        <v>37</v>
      </c>
      <c r="X156" s="4" t="s">
        <v>49</v>
      </c>
    </row>
    <row r="157" customFormat="false" ht="15" hidden="false" customHeight="false" outlineLevel="0" collapsed="false">
      <c r="A157" s="0" t="s">
        <v>738</v>
      </c>
      <c r="B157" s="0" t="s">
        <v>428</v>
      </c>
      <c r="C157" s="0" t="s">
        <v>52</v>
      </c>
      <c r="D157" s="0" t="s">
        <v>53</v>
      </c>
      <c r="E157" s="0" t="s">
        <v>105</v>
      </c>
      <c r="F157" s="0" t="s">
        <v>130</v>
      </c>
      <c r="G157" s="0" t="s">
        <v>739</v>
      </c>
      <c r="H157" s="0" t="s">
        <v>248</v>
      </c>
      <c r="I157" s="0" t="s">
        <v>740</v>
      </c>
      <c r="J157" s="0" t="s">
        <v>33</v>
      </c>
      <c r="K157" s="0" t="n">
        <v>1</v>
      </c>
      <c r="L157" s="0" t="n">
        <v>3</v>
      </c>
      <c r="M157" s="0" t="n">
        <v>3</v>
      </c>
      <c r="N157" s="0" t="n">
        <v>3</v>
      </c>
      <c r="O157" s="0" t="n">
        <f aca="false">SUM(K157:N157)</f>
        <v>10</v>
      </c>
      <c r="P157" s="0" t="str">
        <f aca="false">IF(O157&gt;=15,"Yes","No")</f>
        <v>No</v>
      </c>
      <c r="Q157" s="0" t="s">
        <v>60</v>
      </c>
      <c r="R157" s="2" t="n">
        <v>826000</v>
      </c>
      <c r="S157" s="3" t="n">
        <v>0.15</v>
      </c>
      <c r="T157" s="2" t="n">
        <f aca="false">R157*S157</f>
        <v>123900</v>
      </c>
      <c r="U157" s="4" t="s">
        <v>371</v>
      </c>
    </row>
    <row r="158" customFormat="false" ht="15" hidden="false" customHeight="false" outlineLevel="0" collapsed="false">
      <c r="A158" s="0" t="s">
        <v>741</v>
      </c>
      <c r="B158" s="0" t="s">
        <v>742</v>
      </c>
      <c r="C158" s="0" t="s">
        <v>74</v>
      </c>
      <c r="D158" s="0" t="s">
        <v>64</v>
      </c>
      <c r="E158" s="0" t="s">
        <v>178</v>
      </c>
      <c r="F158" s="0" t="s">
        <v>41</v>
      </c>
      <c r="G158" s="0" t="s">
        <v>743</v>
      </c>
      <c r="H158" s="0" t="s">
        <v>86</v>
      </c>
      <c r="I158" s="0" t="s">
        <v>744</v>
      </c>
      <c r="J158" s="0" t="s">
        <v>59</v>
      </c>
      <c r="K158" s="0" t="n">
        <v>4</v>
      </c>
      <c r="L158" s="0" t="n">
        <v>2</v>
      </c>
      <c r="M158" s="0" t="n">
        <v>1</v>
      </c>
      <c r="N158" s="0" t="n">
        <v>1</v>
      </c>
      <c r="O158" s="0" t="n">
        <f aca="false">SUM(K158:N158)</f>
        <v>8</v>
      </c>
      <c r="P158" s="0" t="str">
        <f aca="false">IF(O158&gt;=15,"Yes","No")</f>
        <v>No</v>
      </c>
      <c r="Q158" s="0" t="s">
        <v>115</v>
      </c>
      <c r="R158" s="2" t="n">
        <v>2930000</v>
      </c>
      <c r="S158" s="3" t="n">
        <v>0.35</v>
      </c>
      <c r="T158" s="2" t="n">
        <f aca="false">R158*S158</f>
        <v>1025500</v>
      </c>
      <c r="U158" s="4" t="s">
        <v>745</v>
      </c>
    </row>
    <row r="159" customFormat="false" ht="15" hidden="false" customHeight="false" outlineLevel="0" collapsed="false">
      <c r="A159" s="0" t="s">
        <v>746</v>
      </c>
      <c r="B159" s="0" t="s">
        <v>83</v>
      </c>
      <c r="C159" s="0" t="s">
        <v>52</v>
      </c>
      <c r="D159" s="0" t="s">
        <v>64</v>
      </c>
      <c r="E159" s="0" t="s">
        <v>142</v>
      </c>
      <c r="F159" s="0" t="s">
        <v>112</v>
      </c>
      <c r="G159" s="0" t="s">
        <v>747</v>
      </c>
      <c r="H159" s="0" t="s">
        <v>86</v>
      </c>
      <c r="I159" s="0" t="s">
        <v>748</v>
      </c>
      <c r="J159" s="0" t="s">
        <v>33</v>
      </c>
      <c r="K159" s="0" t="n">
        <v>2</v>
      </c>
      <c r="L159" s="0" t="n">
        <v>2</v>
      </c>
      <c r="M159" s="0" t="n">
        <v>1</v>
      </c>
      <c r="N159" s="0" t="n">
        <v>1</v>
      </c>
      <c r="O159" s="0" t="n">
        <f aca="false">SUM(K159:N159)</f>
        <v>6</v>
      </c>
      <c r="P159" s="0" t="str">
        <f aca="false">IF(O159&gt;=15,"Yes","No")</f>
        <v>No</v>
      </c>
      <c r="Q159" s="0" t="s">
        <v>60</v>
      </c>
      <c r="R159" s="2" t="n">
        <v>2071000</v>
      </c>
      <c r="S159" s="3" t="n">
        <v>0.15</v>
      </c>
      <c r="T159" s="2" t="n">
        <f aca="false">R159*S159</f>
        <v>310650</v>
      </c>
      <c r="U159" s="4" t="s">
        <v>652</v>
      </c>
    </row>
    <row r="160" customFormat="false" ht="15" hidden="false" customHeight="false" outlineLevel="0" collapsed="false">
      <c r="A160" s="0" t="s">
        <v>749</v>
      </c>
      <c r="B160" s="0" t="s">
        <v>750</v>
      </c>
      <c r="C160" s="0" t="s">
        <v>39</v>
      </c>
      <c r="D160" s="0" t="s">
        <v>53</v>
      </c>
      <c r="E160" s="0" t="s">
        <v>99</v>
      </c>
      <c r="F160" s="0" t="s">
        <v>55</v>
      </c>
      <c r="G160" s="0" t="s">
        <v>100</v>
      </c>
      <c r="H160" s="0" t="s">
        <v>67</v>
      </c>
      <c r="I160" s="0" t="s">
        <v>751</v>
      </c>
      <c r="J160" s="0" t="s">
        <v>33</v>
      </c>
      <c r="K160" s="0" t="n">
        <v>2</v>
      </c>
      <c r="L160" s="0" t="n">
        <v>5</v>
      </c>
      <c r="M160" s="0" t="n">
        <v>2</v>
      </c>
      <c r="N160" s="0" t="n">
        <v>4</v>
      </c>
      <c r="O160" s="0" t="n">
        <f aca="false">SUM(K160:N160)</f>
        <v>13</v>
      </c>
      <c r="P160" s="0" t="str">
        <f aca="false">IF(O160&gt;=15,"Yes","No")</f>
        <v>No</v>
      </c>
      <c r="Q160" s="0" t="s">
        <v>46</v>
      </c>
      <c r="R160" s="2" t="n">
        <v>836000</v>
      </c>
      <c r="S160" s="3" t="n">
        <v>0</v>
      </c>
      <c r="T160" s="2" t="n">
        <f aca="false">R160*S160</f>
        <v>0</v>
      </c>
      <c r="U160" s="4" t="s">
        <v>58</v>
      </c>
      <c r="V160" s="4" t="s">
        <v>752</v>
      </c>
      <c r="W160" s="0" t="n">
        <v>43</v>
      </c>
      <c r="X160" s="4" t="s">
        <v>49</v>
      </c>
    </row>
    <row r="161" customFormat="false" ht="15" hidden="false" customHeight="false" outlineLevel="0" collapsed="false">
      <c r="A161" s="0" t="s">
        <v>753</v>
      </c>
      <c r="B161" s="0" t="s">
        <v>579</v>
      </c>
      <c r="C161" s="0" t="s">
        <v>26</v>
      </c>
      <c r="D161" s="0" t="s">
        <v>64</v>
      </c>
      <c r="E161" s="0" t="s">
        <v>65</v>
      </c>
      <c r="F161" s="0" t="s">
        <v>41</v>
      </c>
      <c r="G161" s="0" t="s">
        <v>522</v>
      </c>
      <c r="H161" s="0" t="s">
        <v>67</v>
      </c>
      <c r="I161" s="0" t="s">
        <v>435</v>
      </c>
      <c r="J161" s="0" t="s">
        <v>78</v>
      </c>
      <c r="K161" s="0" t="n">
        <v>3</v>
      </c>
      <c r="L161" s="0" t="n">
        <v>4</v>
      </c>
      <c r="M161" s="0" t="n">
        <v>2</v>
      </c>
      <c r="N161" s="0" t="n">
        <v>2</v>
      </c>
      <c r="O161" s="0" t="n">
        <f aca="false">SUM(K161:N161)</f>
        <v>11</v>
      </c>
      <c r="P161" s="0" t="str">
        <f aca="false">IF(O161&gt;=15,"Yes","No")</f>
        <v>No</v>
      </c>
      <c r="Q161" s="0" t="s">
        <v>159</v>
      </c>
      <c r="R161" s="2" t="n">
        <v>1742000</v>
      </c>
      <c r="S161" s="3" t="n">
        <v>0.05</v>
      </c>
      <c r="T161" s="2" t="n">
        <f aca="false">R161*S161</f>
        <v>87100</v>
      </c>
      <c r="U161" s="4" t="s">
        <v>581</v>
      </c>
    </row>
    <row r="162" customFormat="false" ht="15" hidden="false" customHeight="false" outlineLevel="0" collapsed="false">
      <c r="A162" s="0" t="s">
        <v>754</v>
      </c>
      <c r="B162" s="0" t="s">
        <v>755</v>
      </c>
      <c r="C162" s="0" t="s">
        <v>74</v>
      </c>
      <c r="D162" s="0" t="s">
        <v>53</v>
      </c>
      <c r="E162" s="0" t="s">
        <v>54</v>
      </c>
      <c r="F162" s="0" t="s">
        <v>179</v>
      </c>
      <c r="G162" s="0" t="s">
        <v>591</v>
      </c>
      <c r="H162" s="0" t="s">
        <v>86</v>
      </c>
      <c r="I162" s="0" t="s">
        <v>756</v>
      </c>
      <c r="J162" s="0" t="s">
        <v>78</v>
      </c>
      <c r="K162" s="0" t="n">
        <v>3</v>
      </c>
      <c r="L162" s="0" t="n">
        <v>1</v>
      </c>
      <c r="M162" s="0" t="n">
        <v>1</v>
      </c>
      <c r="N162" s="0" t="n">
        <v>1</v>
      </c>
      <c r="O162" s="0" t="n">
        <f aca="false">SUM(K162:N162)</f>
        <v>6</v>
      </c>
      <c r="P162" s="0" t="str">
        <f aca="false">IF(O162&gt;=15,"Yes","No")</f>
        <v>No</v>
      </c>
      <c r="Q162" s="0" t="s">
        <v>70</v>
      </c>
      <c r="R162" s="2" t="n">
        <v>866000</v>
      </c>
      <c r="S162" s="3" t="n">
        <v>0.55</v>
      </c>
      <c r="T162" s="2" t="n">
        <f aca="false">R162*S162</f>
        <v>476300</v>
      </c>
      <c r="U162" s="4" t="s">
        <v>508</v>
      </c>
    </row>
    <row r="163" customFormat="false" ht="15" hidden="false" customHeight="false" outlineLevel="0" collapsed="false">
      <c r="A163" s="0" t="s">
        <v>757</v>
      </c>
      <c r="B163" s="0" t="s">
        <v>758</v>
      </c>
      <c r="C163" s="0" t="s">
        <v>74</v>
      </c>
      <c r="D163" s="0" t="s">
        <v>27</v>
      </c>
      <c r="E163" s="0" t="s">
        <v>215</v>
      </c>
      <c r="F163" s="0" t="s">
        <v>55</v>
      </c>
      <c r="G163" s="0" t="s">
        <v>759</v>
      </c>
      <c r="H163" s="0" t="s">
        <v>86</v>
      </c>
      <c r="I163" s="0" t="s">
        <v>725</v>
      </c>
      <c r="J163" s="0" t="s">
        <v>33</v>
      </c>
      <c r="K163" s="0" t="n">
        <v>2</v>
      </c>
      <c r="L163" s="0" t="n">
        <v>3</v>
      </c>
      <c r="M163" s="0" t="n">
        <v>1</v>
      </c>
      <c r="N163" s="0" t="n">
        <v>1</v>
      </c>
      <c r="O163" s="0" t="n">
        <f aca="false">SUM(K163:N163)</f>
        <v>7</v>
      </c>
      <c r="P163" s="0" t="str">
        <f aca="false">IF(O163&gt;=15,"Yes","No")</f>
        <v>No</v>
      </c>
      <c r="Q163" s="0" t="s">
        <v>70</v>
      </c>
      <c r="R163" s="2" t="n">
        <v>248000</v>
      </c>
      <c r="S163" s="3" t="n">
        <v>0.55</v>
      </c>
      <c r="T163" s="2" t="n">
        <f aca="false">R163*S163</f>
        <v>136400</v>
      </c>
      <c r="U163" s="4" t="s">
        <v>760</v>
      </c>
    </row>
    <row r="164" customFormat="false" ht="15" hidden="false" customHeight="false" outlineLevel="0" collapsed="false">
      <c r="A164" s="0" t="s">
        <v>761</v>
      </c>
      <c r="B164" s="0" t="s">
        <v>63</v>
      </c>
      <c r="C164" s="0" t="s">
        <v>264</v>
      </c>
      <c r="D164" s="0" t="s">
        <v>53</v>
      </c>
      <c r="E164" s="0" t="s">
        <v>28</v>
      </c>
      <c r="F164" s="0" t="s">
        <v>55</v>
      </c>
      <c r="G164" s="0" t="s">
        <v>762</v>
      </c>
      <c r="H164" s="0" t="s">
        <v>67</v>
      </c>
      <c r="I164" s="0" t="s">
        <v>763</v>
      </c>
      <c r="J164" s="0" t="s">
        <v>59</v>
      </c>
      <c r="K164" s="0" t="n">
        <v>3</v>
      </c>
      <c r="L164" s="0" t="n">
        <v>4</v>
      </c>
      <c r="M164" s="0" t="n">
        <v>3</v>
      </c>
      <c r="N164" s="0" t="n">
        <v>2</v>
      </c>
      <c r="O164" s="0" t="n">
        <f aca="false">SUM(K164:N164)</f>
        <v>12</v>
      </c>
      <c r="P164" s="0" t="str">
        <f aca="false">IF(O164&gt;=15,"Yes","No")</f>
        <v>No</v>
      </c>
      <c r="Q164" s="0" t="s">
        <v>46</v>
      </c>
      <c r="R164" s="2" t="n">
        <v>649000</v>
      </c>
      <c r="S164" s="3" t="n">
        <v>0</v>
      </c>
      <c r="T164" s="2" t="n">
        <f aca="false">R164*S164</f>
        <v>0</v>
      </c>
      <c r="U164" s="4" t="s">
        <v>764</v>
      </c>
      <c r="V164" s="4" t="s">
        <v>32</v>
      </c>
      <c r="W164" s="0" t="n">
        <v>32</v>
      </c>
      <c r="X164" s="4" t="s">
        <v>257</v>
      </c>
    </row>
    <row r="165" customFormat="false" ht="15" hidden="false" customHeight="false" outlineLevel="0" collapsed="false">
      <c r="A165" s="0" t="s">
        <v>765</v>
      </c>
      <c r="B165" s="0" t="s">
        <v>83</v>
      </c>
      <c r="C165" s="0" t="s">
        <v>184</v>
      </c>
      <c r="D165" s="0" t="s">
        <v>64</v>
      </c>
      <c r="E165" s="0" t="s">
        <v>84</v>
      </c>
      <c r="F165" s="0" t="s">
        <v>153</v>
      </c>
      <c r="G165" s="0" t="s">
        <v>85</v>
      </c>
      <c r="H165" s="0" t="s">
        <v>31</v>
      </c>
      <c r="I165" s="0" t="s">
        <v>766</v>
      </c>
      <c r="J165" s="0" t="s">
        <v>78</v>
      </c>
      <c r="K165" s="0" t="n">
        <v>3</v>
      </c>
      <c r="L165" s="0" t="n">
        <v>4</v>
      </c>
      <c r="M165" s="0" t="n">
        <v>2</v>
      </c>
      <c r="N165" s="0" t="n">
        <v>3</v>
      </c>
      <c r="O165" s="0" t="n">
        <f aca="false">SUM(K165:N165)</f>
        <v>12</v>
      </c>
      <c r="P165" s="0" t="str">
        <f aca="false">IF(O165&gt;=15,"Yes","No")</f>
        <v>No</v>
      </c>
      <c r="Q165" s="0" t="s">
        <v>60</v>
      </c>
      <c r="R165" s="2" t="n">
        <v>2369000</v>
      </c>
      <c r="S165" s="3" t="n">
        <v>0.15</v>
      </c>
      <c r="T165" s="2" t="n">
        <f aca="false">R165*S165</f>
        <v>355350</v>
      </c>
      <c r="U165" s="4" t="s">
        <v>767</v>
      </c>
    </row>
    <row r="166" customFormat="false" ht="15" hidden="false" customHeight="false" outlineLevel="0" collapsed="false">
      <c r="A166" s="0" t="s">
        <v>768</v>
      </c>
      <c r="B166" s="0" t="s">
        <v>769</v>
      </c>
      <c r="C166" s="0" t="s">
        <v>264</v>
      </c>
      <c r="D166" s="0" t="s">
        <v>27</v>
      </c>
      <c r="E166" s="0" t="s">
        <v>28</v>
      </c>
      <c r="F166" s="0" t="s">
        <v>130</v>
      </c>
      <c r="G166" s="0" t="s">
        <v>770</v>
      </c>
      <c r="H166" s="0" t="s">
        <v>86</v>
      </c>
      <c r="I166" s="0" t="s">
        <v>657</v>
      </c>
      <c r="J166" s="0" t="s">
        <v>69</v>
      </c>
      <c r="K166" s="0" t="n">
        <v>1</v>
      </c>
      <c r="L166" s="0" t="n">
        <v>2</v>
      </c>
      <c r="M166" s="0" t="n">
        <v>2</v>
      </c>
      <c r="N166" s="0" t="n">
        <v>3</v>
      </c>
      <c r="O166" s="0" t="n">
        <f aca="false">SUM(K166:N166)</f>
        <v>8</v>
      </c>
      <c r="P166" s="0" t="str">
        <f aca="false">IF(O166&gt;=15,"Yes","No")</f>
        <v>No</v>
      </c>
      <c r="Q166" s="0" t="s">
        <v>159</v>
      </c>
      <c r="R166" s="2" t="n">
        <v>150000</v>
      </c>
      <c r="S166" s="3" t="n">
        <v>0.05</v>
      </c>
      <c r="T166" s="2" t="n">
        <f aca="false">R166*S166</f>
        <v>7500</v>
      </c>
      <c r="U166" s="4" t="s">
        <v>771</v>
      </c>
    </row>
    <row r="167" customFormat="false" ht="15" hidden="false" customHeight="false" outlineLevel="0" collapsed="false">
      <c r="A167" s="0" t="s">
        <v>772</v>
      </c>
      <c r="B167" s="0" t="s">
        <v>773</v>
      </c>
      <c r="C167" s="0" t="s">
        <v>39</v>
      </c>
      <c r="D167" s="0" t="s">
        <v>27</v>
      </c>
      <c r="E167" s="0" t="s">
        <v>99</v>
      </c>
      <c r="F167" s="0" t="s">
        <v>130</v>
      </c>
      <c r="G167" s="0" t="s">
        <v>306</v>
      </c>
      <c r="H167" s="0" t="s">
        <v>86</v>
      </c>
      <c r="I167" s="0" t="s">
        <v>774</v>
      </c>
      <c r="J167" s="0" t="s">
        <v>33</v>
      </c>
      <c r="K167" s="0" t="n">
        <v>2</v>
      </c>
      <c r="L167" s="0" t="n">
        <v>2</v>
      </c>
      <c r="M167" s="0" t="n">
        <v>2</v>
      </c>
      <c r="N167" s="0" t="n">
        <v>1</v>
      </c>
      <c r="O167" s="0" t="n">
        <f aca="false">SUM(K167:N167)</f>
        <v>7</v>
      </c>
      <c r="P167" s="0" t="str">
        <f aca="false">IF(O167&gt;=15,"Yes","No")</f>
        <v>No</v>
      </c>
      <c r="Q167" s="0" t="s">
        <v>60</v>
      </c>
      <c r="R167" s="2" t="n">
        <v>246000</v>
      </c>
      <c r="S167" s="3" t="n">
        <v>0.15</v>
      </c>
      <c r="T167" s="2" t="n">
        <f aca="false">R167*S167</f>
        <v>36900</v>
      </c>
      <c r="U167" s="4" t="s">
        <v>181</v>
      </c>
    </row>
    <row r="168" customFormat="false" ht="15" hidden="false" customHeight="false" outlineLevel="0" collapsed="false">
      <c r="A168" s="0" t="s">
        <v>775</v>
      </c>
      <c r="B168" s="0" t="s">
        <v>776</v>
      </c>
      <c r="C168" s="0" t="s">
        <v>26</v>
      </c>
      <c r="D168" s="0" t="s">
        <v>27</v>
      </c>
      <c r="E168" s="0" t="s">
        <v>84</v>
      </c>
      <c r="F168" s="0" t="s">
        <v>75</v>
      </c>
      <c r="G168" s="0" t="s">
        <v>777</v>
      </c>
      <c r="H168" s="0" t="s">
        <v>86</v>
      </c>
      <c r="I168" s="0" t="s">
        <v>760</v>
      </c>
      <c r="J168" s="0" t="s">
        <v>59</v>
      </c>
      <c r="K168" s="0" t="n">
        <v>1</v>
      </c>
      <c r="L168" s="0" t="n">
        <v>2</v>
      </c>
      <c r="M168" s="0" t="n">
        <v>2</v>
      </c>
      <c r="N168" s="0" t="n">
        <v>1</v>
      </c>
      <c r="O168" s="0" t="n">
        <f aca="false">SUM(K168:N168)</f>
        <v>6</v>
      </c>
      <c r="P168" s="0" t="str">
        <f aca="false">IF(O168&gt;=15,"Yes","No")</f>
        <v>No</v>
      </c>
      <c r="Q168" s="0" t="s">
        <v>60</v>
      </c>
      <c r="R168" s="2" t="n">
        <v>202000</v>
      </c>
      <c r="S168" s="3" t="n">
        <v>0.15</v>
      </c>
      <c r="T168" s="2" t="n">
        <f aca="false">R168*S168</f>
        <v>30300</v>
      </c>
      <c r="U168" s="4" t="s">
        <v>778</v>
      </c>
    </row>
    <row r="169" customFormat="false" ht="15" hidden="false" customHeight="false" outlineLevel="0" collapsed="false">
      <c r="A169" s="0" t="s">
        <v>779</v>
      </c>
      <c r="B169" s="0" t="s">
        <v>780</v>
      </c>
      <c r="C169" s="0" t="s">
        <v>52</v>
      </c>
      <c r="D169" s="0" t="s">
        <v>27</v>
      </c>
      <c r="E169" s="0" t="s">
        <v>84</v>
      </c>
      <c r="F169" s="0" t="s">
        <v>29</v>
      </c>
      <c r="G169" s="0" t="s">
        <v>781</v>
      </c>
      <c r="H169" s="0" t="s">
        <v>248</v>
      </c>
      <c r="I169" s="0" t="s">
        <v>782</v>
      </c>
      <c r="J169" s="0" t="s">
        <v>69</v>
      </c>
      <c r="K169" s="0" t="n">
        <v>3</v>
      </c>
      <c r="L169" s="0" t="n">
        <v>1</v>
      </c>
      <c r="M169" s="0" t="n">
        <v>4</v>
      </c>
      <c r="N169" s="0" t="n">
        <v>2</v>
      </c>
      <c r="O169" s="0" t="n">
        <f aca="false">SUM(K169:N169)</f>
        <v>10</v>
      </c>
      <c r="P169" s="0" t="str">
        <f aca="false">IF(O169&gt;=15,"Yes","No")</f>
        <v>No</v>
      </c>
      <c r="Q169" s="0" t="s">
        <v>60</v>
      </c>
      <c r="R169" s="2" t="n">
        <v>154000</v>
      </c>
      <c r="S169" s="3" t="n">
        <v>0.15</v>
      </c>
      <c r="T169" s="2" t="n">
        <f aca="false">R169*S169</f>
        <v>23100</v>
      </c>
      <c r="U169" s="4" t="s">
        <v>783</v>
      </c>
    </row>
    <row r="170" customFormat="false" ht="15" hidden="false" customHeight="false" outlineLevel="0" collapsed="false">
      <c r="A170" s="0" t="s">
        <v>784</v>
      </c>
      <c r="B170" s="0" t="s">
        <v>716</v>
      </c>
      <c r="C170" s="0" t="s">
        <v>26</v>
      </c>
      <c r="D170" s="0" t="s">
        <v>53</v>
      </c>
      <c r="E170" s="0" t="s">
        <v>119</v>
      </c>
      <c r="F170" s="0" t="s">
        <v>41</v>
      </c>
      <c r="G170" s="0" t="s">
        <v>158</v>
      </c>
      <c r="H170" s="0" t="s">
        <v>67</v>
      </c>
      <c r="I170" s="0" t="s">
        <v>785</v>
      </c>
      <c r="J170" s="0" t="s">
        <v>59</v>
      </c>
      <c r="K170" s="0" t="n">
        <v>3</v>
      </c>
      <c r="L170" s="0" t="n">
        <v>3</v>
      </c>
      <c r="M170" s="0" t="n">
        <v>2</v>
      </c>
      <c r="N170" s="0" t="n">
        <v>3</v>
      </c>
      <c r="O170" s="0" t="n">
        <f aca="false">SUM(K170:N170)</f>
        <v>11</v>
      </c>
      <c r="P170" s="0" t="str">
        <f aca="false">IF(O170&gt;=15,"Yes","No")</f>
        <v>No</v>
      </c>
      <c r="Q170" s="0" t="s">
        <v>60</v>
      </c>
      <c r="R170" s="2" t="n">
        <v>526000</v>
      </c>
      <c r="S170" s="3" t="n">
        <v>0.15</v>
      </c>
      <c r="T170" s="2" t="n">
        <f aca="false">R170*S170</f>
        <v>78900</v>
      </c>
      <c r="U170" s="4" t="s">
        <v>786</v>
      </c>
    </row>
    <row r="171" customFormat="false" ht="15" hidden="false" customHeight="false" outlineLevel="0" collapsed="false">
      <c r="A171" s="0" t="s">
        <v>787</v>
      </c>
      <c r="B171" s="0" t="s">
        <v>788</v>
      </c>
      <c r="C171" s="0" t="s">
        <v>39</v>
      </c>
      <c r="D171" s="0" t="s">
        <v>64</v>
      </c>
      <c r="E171" s="0" t="s">
        <v>322</v>
      </c>
      <c r="F171" s="0" t="s">
        <v>29</v>
      </c>
      <c r="G171" s="0" t="s">
        <v>789</v>
      </c>
      <c r="H171" s="0" t="s">
        <v>248</v>
      </c>
      <c r="I171" s="0" t="s">
        <v>790</v>
      </c>
      <c r="J171" s="0" t="s">
        <v>45</v>
      </c>
      <c r="K171" s="0" t="n">
        <v>4</v>
      </c>
      <c r="L171" s="0" t="n">
        <v>3</v>
      </c>
      <c r="M171" s="0" t="n">
        <v>2</v>
      </c>
      <c r="N171" s="0" t="n">
        <v>4</v>
      </c>
      <c r="O171" s="0" t="n">
        <f aca="false">SUM(K171:N171)</f>
        <v>13</v>
      </c>
      <c r="P171" s="0" t="str">
        <f aca="false">IF(O171&gt;=15,"Yes","No")</f>
        <v>No</v>
      </c>
      <c r="Q171" s="0" t="s">
        <v>60</v>
      </c>
      <c r="R171" s="2" t="n">
        <v>2961000</v>
      </c>
      <c r="S171" s="3" t="n">
        <v>0.15</v>
      </c>
      <c r="T171" s="2" t="n">
        <f aca="false">R171*S171</f>
        <v>444150</v>
      </c>
      <c r="U171" s="4" t="s">
        <v>565</v>
      </c>
    </row>
    <row r="172" customFormat="false" ht="15" hidden="false" customHeight="false" outlineLevel="0" collapsed="false">
      <c r="A172" s="0" t="s">
        <v>791</v>
      </c>
      <c r="B172" s="0" t="s">
        <v>728</v>
      </c>
      <c r="C172" s="0" t="s">
        <v>39</v>
      </c>
      <c r="D172" s="0" t="s">
        <v>64</v>
      </c>
      <c r="E172" s="0" t="s">
        <v>178</v>
      </c>
      <c r="F172" s="0" t="s">
        <v>112</v>
      </c>
      <c r="G172" s="0" t="s">
        <v>404</v>
      </c>
      <c r="H172" s="0" t="s">
        <v>43</v>
      </c>
      <c r="I172" s="0" t="s">
        <v>704</v>
      </c>
      <c r="J172" s="0" t="s">
        <v>69</v>
      </c>
      <c r="K172" s="0" t="n">
        <v>4</v>
      </c>
      <c r="L172" s="0" t="n">
        <v>3</v>
      </c>
      <c r="M172" s="0" t="n">
        <v>5</v>
      </c>
      <c r="N172" s="0" t="n">
        <v>2</v>
      </c>
      <c r="O172" s="0" t="n">
        <f aca="false">SUM(K172:N172)</f>
        <v>14</v>
      </c>
      <c r="P172" s="0" t="str">
        <f aca="false">IF(O172&gt;=15,"Yes","No")</f>
        <v>No</v>
      </c>
      <c r="Q172" s="0" t="s">
        <v>60</v>
      </c>
      <c r="R172" s="2" t="n">
        <v>1926000</v>
      </c>
      <c r="S172" s="3" t="n">
        <v>0.15</v>
      </c>
      <c r="T172" s="2" t="n">
        <f aca="false">R172*S172</f>
        <v>288900</v>
      </c>
      <c r="U172" s="4" t="s">
        <v>614</v>
      </c>
    </row>
    <row r="173" customFormat="false" ht="15" hidden="false" customHeight="false" outlineLevel="0" collapsed="false">
      <c r="A173" s="0" t="s">
        <v>792</v>
      </c>
      <c r="B173" s="0" t="s">
        <v>793</v>
      </c>
      <c r="C173" s="0" t="s">
        <v>264</v>
      </c>
      <c r="D173" s="0" t="s">
        <v>27</v>
      </c>
      <c r="E173" s="0" t="s">
        <v>28</v>
      </c>
      <c r="F173" s="0" t="s">
        <v>112</v>
      </c>
      <c r="G173" s="0" t="s">
        <v>794</v>
      </c>
      <c r="H173" s="0" t="s">
        <v>67</v>
      </c>
      <c r="I173" s="0" t="s">
        <v>795</v>
      </c>
      <c r="J173" s="0" t="s">
        <v>33</v>
      </c>
      <c r="K173" s="0" t="n">
        <v>3</v>
      </c>
      <c r="L173" s="0" t="n">
        <v>1</v>
      </c>
      <c r="M173" s="0" t="n">
        <v>3</v>
      </c>
      <c r="N173" s="0" t="n">
        <v>4</v>
      </c>
      <c r="O173" s="0" t="n">
        <f aca="false">SUM(K173:N173)</f>
        <v>11</v>
      </c>
      <c r="P173" s="0" t="str">
        <f aca="false">IF(O173&gt;=15,"Yes","No")</f>
        <v>No</v>
      </c>
      <c r="Q173" s="0" t="s">
        <v>70</v>
      </c>
      <c r="R173" s="2" t="n">
        <v>178000</v>
      </c>
      <c r="S173" s="3" t="n">
        <v>0.55</v>
      </c>
      <c r="T173" s="2" t="n">
        <f aca="false">R173*S173</f>
        <v>97900</v>
      </c>
      <c r="U173" s="4" t="s">
        <v>796</v>
      </c>
    </row>
    <row r="174" customFormat="false" ht="15" hidden="false" customHeight="false" outlineLevel="0" collapsed="false">
      <c r="A174" s="0" t="s">
        <v>797</v>
      </c>
      <c r="B174" s="0" t="s">
        <v>798</v>
      </c>
      <c r="C174" s="0" t="s">
        <v>129</v>
      </c>
      <c r="D174" s="0" t="s">
        <v>64</v>
      </c>
      <c r="E174" s="0" t="s">
        <v>215</v>
      </c>
      <c r="F174" s="0" t="s">
        <v>153</v>
      </c>
      <c r="G174" s="0" t="s">
        <v>799</v>
      </c>
      <c r="H174" s="0" t="s">
        <v>43</v>
      </c>
      <c r="I174" s="0" t="s">
        <v>125</v>
      </c>
      <c r="J174" s="0" t="s">
        <v>59</v>
      </c>
      <c r="K174" s="0" t="n">
        <v>3</v>
      </c>
      <c r="L174" s="0" t="n">
        <v>4</v>
      </c>
      <c r="M174" s="0" t="n">
        <v>4</v>
      </c>
      <c r="N174" s="0" t="n">
        <v>4</v>
      </c>
      <c r="O174" s="0" t="n">
        <f aca="false">SUM(K174:N174)</f>
        <v>15</v>
      </c>
      <c r="P174" s="0" t="str">
        <f aca="false">IF(O174&gt;=15,"Yes","No")</f>
        <v>Yes</v>
      </c>
      <c r="Q174" s="0" t="s">
        <v>46</v>
      </c>
      <c r="R174" s="2" t="n">
        <v>2180000</v>
      </c>
      <c r="S174" s="3" t="n">
        <v>0</v>
      </c>
      <c r="T174" s="2" t="n">
        <f aca="false">R174*S174</f>
        <v>0</v>
      </c>
      <c r="U174" s="4" t="s">
        <v>175</v>
      </c>
      <c r="V174" s="4" t="s">
        <v>309</v>
      </c>
      <c r="W174" s="0" t="n">
        <v>37</v>
      </c>
      <c r="X174" s="4" t="s">
        <v>326</v>
      </c>
    </row>
    <row r="175" customFormat="false" ht="15" hidden="false" customHeight="false" outlineLevel="0" collapsed="false">
      <c r="A175" s="0" t="s">
        <v>800</v>
      </c>
      <c r="B175" s="0" t="s">
        <v>801</v>
      </c>
      <c r="C175" s="0" t="s">
        <v>26</v>
      </c>
      <c r="D175" s="0" t="s">
        <v>64</v>
      </c>
      <c r="E175" s="0" t="s">
        <v>65</v>
      </c>
      <c r="F175" s="0" t="s">
        <v>112</v>
      </c>
      <c r="G175" s="0" t="s">
        <v>802</v>
      </c>
      <c r="H175" s="0" t="s">
        <v>43</v>
      </c>
      <c r="I175" s="0" t="s">
        <v>346</v>
      </c>
      <c r="J175" s="0" t="s">
        <v>45</v>
      </c>
      <c r="K175" s="0" t="n">
        <v>4</v>
      </c>
      <c r="L175" s="0" t="n">
        <v>4</v>
      </c>
      <c r="M175" s="0" t="n">
        <v>5</v>
      </c>
      <c r="N175" s="0" t="n">
        <v>5</v>
      </c>
      <c r="O175" s="0" t="n">
        <f aca="false">SUM(K175:N175)</f>
        <v>18</v>
      </c>
      <c r="P175" s="0" t="str">
        <f aca="false">IF(O175&gt;=15,"Yes","No")</f>
        <v>Yes</v>
      </c>
      <c r="Q175" s="0" t="s">
        <v>46</v>
      </c>
      <c r="R175" s="2" t="n">
        <v>2373000</v>
      </c>
      <c r="S175" s="3" t="n">
        <v>0</v>
      </c>
      <c r="T175" s="2" t="n">
        <f aca="false">R175*S175</f>
        <v>0</v>
      </c>
      <c r="U175" s="4" t="s">
        <v>359</v>
      </c>
      <c r="V175" s="4" t="s">
        <v>803</v>
      </c>
      <c r="W175" s="0" t="n">
        <v>39</v>
      </c>
      <c r="X175" s="4" t="s">
        <v>257</v>
      </c>
    </row>
    <row r="176" customFormat="false" ht="15" hidden="false" customHeight="false" outlineLevel="0" collapsed="false">
      <c r="A176" s="0" t="s">
        <v>804</v>
      </c>
      <c r="B176" s="0" t="s">
        <v>758</v>
      </c>
      <c r="C176" s="0" t="s">
        <v>26</v>
      </c>
      <c r="D176" s="0" t="s">
        <v>27</v>
      </c>
      <c r="E176" s="0" t="s">
        <v>28</v>
      </c>
      <c r="F176" s="0" t="s">
        <v>75</v>
      </c>
      <c r="G176" s="0" t="s">
        <v>794</v>
      </c>
      <c r="H176" s="0" t="s">
        <v>67</v>
      </c>
      <c r="I176" s="0" t="s">
        <v>805</v>
      </c>
      <c r="J176" s="0" t="s">
        <v>78</v>
      </c>
      <c r="K176" s="0" t="n">
        <v>4</v>
      </c>
      <c r="L176" s="0" t="n">
        <v>2</v>
      </c>
      <c r="M176" s="0" t="n">
        <v>4</v>
      </c>
      <c r="N176" s="0" t="n">
        <v>2</v>
      </c>
      <c r="O176" s="0" t="n">
        <f aca="false">SUM(K176:N176)</f>
        <v>12</v>
      </c>
      <c r="P176" s="0" t="str">
        <f aca="false">IF(O176&gt;=15,"Yes","No")</f>
        <v>No</v>
      </c>
      <c r="Q176" s="0" t="s">
        <v>34</v>
      </c>
      <c r="R176" s="2" t="n">
        <v>153000</v>
      </c>
      <c r="S176" s="3" t="n">
        <v>1</v>
      </c>
      <c r="T176" s="2" t="n">
        <f aca="false">R176*S176</f>
        <v>153000</v>
      </c>
      <c r="U176" s="4" t="s">
        <v>806</v>
      </c>
      <c r="V176" s="4" t="s">
        <v>296</v>
      </c>
      <c r="W176" s="0" t="n">
        <v>24</v>
      </c>
    </row>
    <row r="177" customFormat="false" ht="15" hidden="false" customHeight="false" outlineLevel="0" collapsed="false">
      <c r="A177" s="0" t="s">
        <v>807</v>
      </c>
      <c r="B177" s="0" t="s">
        <v>808</v>
      </c>
      <c r="C177" s="0" t="s">
        <v>74</v>
      </c>
      <c r="D177" s="0" t="s">
        <v>53</v>
      </c>
      <c r="E177" s="0" t="s">
        <v>65</v>
      </c>
      <c r="F177" s="0" t="s">
        <v>112</v>
      </c>
      <c r="G177" s="0" t="s">
        <v>809</v>
      </c>
      <c r="H177" s="0" t="s">
        <v>67</v>
      </c>
      <c r="I177" s="0" t="s">
        <v>810</v>
      </c>
      <c r="J177" s="0" t="s">
        <v>33</v>
      </c>
      <c r="K177" s="0" t="n">
        <v>1</v>
      </c>
      <c r="L177" s="0" t="n">
        <v>3</v>
      </c>
      <c r="M177" s="0" t="n">
        <v>5</v>
      </c>
      <c r="N177" s="0" t="n">
        <v>4</v>
      </c>
      <c r="O177" s="0" t="n">
        <f aca="false">SUM(K177:N177)</f>
        <v>13</v>
      </c>
      <c r="P177" s="0" t="str">
        <f aca="false">IF(O177&gt;=15,"Yes","No")</f>
        <v>No</v>
      </c>
      <c r="Q177" s="0" t="s">
        <v>115</v>
      </c>
      <c r="R177" s="2" t="n">
        <v>723000</v>
      </c>
      <c r="S177" s="3" t="n">
        <v>0.35</v>
      </c>
      <c r="T177" s="2" t="n">
        <f aca="false">R177*S177</f>
        <v>253050</v>
      </c>
      <c r="U177" s="4" t="s">
        <v>227</v>
      </c>
    </row>
    <row r="178" customFormat="false" ht="15" hidden="false" customHeight="false" outlineLevel="0" collapsed="false">
      <c r="A178" s="0" t="s">
        <v>811</v>
      </c>
      <c r="B178" s="0" t="s">
        <v>812</v>
      </c>
      <c r="C178" s="0" t="s">
        <v>52</v>
      </c>
      <c r="D178" s="0" t="s">
        <v>27</v>
      </c>
      <c r="E178" s="0" t="s">
        <v>111</v>
      </c>
      <c r="F178" s="0" t="s">
        <v>75</v>
      </c>
      <c r="G178" s="0" t="s">
        <v>813</v>
      </c>
      <c r="H178" s="0" t="s">
        <v>86</v>
      </c>
      <c r="I178" s="0" t="s">
        <v>191</v>
      </c>
      <c r="J178" s="0" t="s">
        <v>78</v>
      </c>
      <c r="K178" s="0" t="n">
        <v>1</v>
      </c>
      <c r="L178" s="0" t="n">
        <v>2</v>
      </c>
      <c r="M178" s="0" t="n">
        <v>3</v>
      </c>
      <c r="N178" s="0" t="n">
        <v>1</v>
      </c>
      <c r="O178" s="0" t="n">
        <f aca="false">SUM(K178:N178)</f>
        <v>7</v>
      </c>
      <c r="P178" s="0" t="str">
        <f aca="false">IF(O178&gt;=15,"Yes","No")</f>
        <v>No</v>
      </c>
      <c r="Q178" s="0" t="s">
        <v>60</v>
      </c>
      <c r="R178" s="2" t="n">
        <v>186000</v>
      </c>
      <c r="S178" s="3" t="n">
        <v>0.15</v>
      </c>
      <c r="T178" s="2" t="n">
        <f aca="false">R178*S178</f>
        <v>27900</v>
      </c>
      <c r="U178" s="4" t="s">
        <v>814</v>
      </c>
    </row>
    <row r="179" customFormat="false" ht="15" hidden="false" customHeight="false" outlineLevel="0" collapsed="false">
      <c r="A179" s="0" t="s">
        <v>815</v>
      </c>
      <c r="B179" s="0" t="s">
        <v>51</v>
      </c>
      <c r="C179" s="0" t="s">
        <v>152</v>
      </c>
      <c r="D179" s="0" t="s">
        <v>53</v>
      </c>
      <c r="E179" s="0" t="s">
        <v>136</v>
      </c>
      <c r="F179" s="0" t="s">
        <v>112</v>
      </c>
      <c r="G179" s="0" t="s">
        <v>373</v>
      </c>
      <c r="H179" s="0" t="s">
        <v>43</v>
      </c>
      <c r="I179" s="0" t="s">
        <v>633</v>
      </c>
      <c r="J179" s="0" t="s">
        <v>45</v>
      </c>
      <c r="K179" s="0" t="n">
        <v>4</v>
      </c>
      <c r="L179" s="0" t="n">
        <v>5</v>
      </c>
      <c r="M179" s="0" t="n">
        <v>5</v>
      </c>
      <c r="N179" s="0" t="n">
        <v>4</v>
      </c>
      <c r="O179" s="0" t="n">
        <f aca="false">SUM(K179:N179)</f>
        <v>18</v>
      </c>
      <c r="P179" s="0" t="str">
        <f aca="false">IF(O179&gt;=15,"Yes","No")</f>
        <v>Yes</v>
      </c>
      <c r="Q179" s="0" t="s">
        <v>115</v>
      </c>
      <c r="R179" s="2" t="n">
        <v>666000</v>
      </c>
      <c r="S179" s="3" t="n">
        <v>0.35</v>
      </c>
      <c r="T179" s="2" t="n">
        <f aca="false">R179*S179</f>
        <v>233100</v>
      </c>
      <c r="U179" s="4" t="s">
        <v>816</v>
      </c>
    </row>
    <row r="180" customFormat="false" ht="15" hidden="false" customHeight="false" outlineLevel="0" collapsed="false">
      <c r="A180" s="0" t="s">
        <v>817</v>
      </c>
      <c r="B180" s="0" t="s">
        <v>403</v>
      </c>
      <c r="C180" s="0" t="s">
        <v>74</v>
      </c>
      <c r="D180" s="0" t="s">
        <v>53</v>
      </c>
      <c r="E180" s="0" t="s">
        <v>105</v>
      </c>
      <c r="F180" s="0" t="s">
        <v>75</v>
      </c>
      <c r="G180" s="0" t="s">
        <v>818</v>
      </c>
      <c r="H180" s="0" t="s">
        <v>43</v>
      </c>
      <c r="I180" s="0" t="s">
        <v>819</v>
      </c>
      <c r="J180" s="0" t="s">
        <v>69</v>
      </c>
      <c r="K180" s="0" t="n">
        <v>5</v>
      </c>
      <c r="L180" s="0" t="n">
        <v>5</v>
      </c>
      <c r="M180" s="0" t="n">
        <v>4</v>
      </c>
      <c r="N180" s="0" t="n">
        <v>4</v>
      </c>
      <c r="O180" s="0" t="n">
        <f aca="false">SUM(K180:N180)</f>
        <v>18</v>
      </c>
      <c r="P180" s="0" t="str">
        <f aca="false">IF(O180&gt;=15,"Yes","No")</f>
        <v>Yes</v>
      </c>
      <c r="Q180" s="0" t="s">
        <v>159</v>
      </c>
      <c r="R180" s="2" t="n">
        <v>857000</v>
      </c>
      <c r="S180" s="3" t="n">
        <v>0.05</v>
      </c>
      <c r="T180" s="2" t="n">
        <f aca="false">R180*S180</f>
        <v>42850</v>
      </c>
      <c r="U180" s="4" t="s">
        <v>356</v>
      </c>
    </row>
    <row r="181" customFormat="false" ht="15" hidden="false" customHeight="false" outlineLevel="0" collapsed="false">
      <c r="A181" s="0" t="s">
        <v>820</v>
      </c>
      <c r="B181" s="0" t="s">
        <v>571</v>
      </c>
      <c r="C181" s="0" t="s">
        <v>152</v>
      </c>
      <c r="D181" s="0" t="s">
        <v>53</v>
      </c>
      <c r="E181" s="0" t="s">
        <v>195</v>
      </c>
      <c r="F181" s="0" t="s">
        <v>29</v>
      </c>
      <c r="G181" s="0" t="s">
        <v>196</v>
      </c>
      <c r="H181" s="0" t="s">
        <v>86</v>
      </c>
      <c r="I181" s="0" t="s">
        <v>821</v>
      </c>
      <c r="J181" s="0" t="s">
        <v>69</v>
      </c>
      <c r="K181" s="0" t="n">
        <v>1</v>
      </c>
      <c r="L181" s="0" t="n">
        <v>3</v>
      </c>
      <c r="M181" s="0" t="n">
        <v>2</v>
      </c>
      <c r="N181" s="0" t="n">
        <v>2</v>
      </c>
      <c r="O181" s="0" t="n">
        <f aca="false">SUM(K181:N181)</f>
        <v>8</v>
      </c>
      <c r="P181" s="0" t="str">
        <f aca="false">IF(O181&gt;=15,"Yes","No")</f>
        <v>No</v>
      </c>
      <c r="Q181" s="0" t="s">
        <v>34</v>
      </c>
      <c r="R181" s="2" t="n">
        <v>634000</v>
      </c>
      <c r="S181" s="3" t="n">
        <v>1</v>
      </c>
      <c r="T181" s="2" t="n">
        <f aca="false">R181*S181</f>
        <v>634000</v>
      </c>
      <c r="U181" s="4" t="s">
        <v>822</v>
      </c>
      <c r="V181" s="4" t="s">
        <v>823</v>
      </c>
      <c r="W181" s="0" t="n">
        <v>31</v>
      </c>
    </row>
    <row r="182" customFormat="false" ht="15" hidden="false" customHeight="false" outlineLevel="0" collapsed="false">
      <c r="A182" s="0" t="s">
        <v>824</v>
      </c>
      <c r="B182" s="0" t="s">
        <v>655</v>
      </c>
      <c r="C182" s="0" t="s">
        <v>26</v>
      </c>
      <c r="D182" s="0" t="s">
        <v>53</v>
      </c>
      <c r="E182" s="0" t="s">
        <v>105</v>
      </c>
      <c r="F182" s="0" t="s">
        <v>153</v>
      </c>
      <c r="G182" s="0" t="s">
        <v>825</v>
      </c>
      <c r="H182" s="0" t="s">
        <v>86</v>
      </c>
      <c r="I182" s="0" t="s">
        <v>614</v>
      </c>
      <c r="J182" s="0" t="s">
        <v>78</v>
      </c>
      <c r="K182" s="0" t="n">
        <v>1</v>
      </c>
      <c r="L182" s="0" t="n">
        <v>1</v>
      </c>
      <c r="M182" s="0" t="n">
        <v>1</v>
      </c>
      <c r="N182" s="0" t="n">
        <v>1</v>
      </c>
      <c r="O182" s="0" t="n">
        <f aca="false">SUM(K182:N182)</f>
        <v>4</v>
      </c>
      <c r="P182" s="0" t="str">
        <f aca="false">IF(O182&gt;=15,"Yes","No")</f>
        <v>No</v>
      </c>
      <c r="Q182" s="0" t="s">
        <v>60</v>
      </c>
      <c r="R182" s="2" t="n">
        <v>540000</v>
      </c>
      <c r="S182" s="3" t="n">
        <v>0.15</v>
      </c>
      <c r="T182" s="2" t="n">
        <f aca="false">R182*S182</f>
        <v>81000</v>
      </c>
      <c r="U182" s="4" t="s">
        <v>826</v>
      </c>
    </row>
    <row r="183" customFormat="false" ht="15" hidden="false" customHeight="false" outlineLevel="0" collapsed="false">
      <c r="A183" s="0" t="s">
        <v>827</v>
      </c>
      <c r="B183" s="0" t="s">
        <v>780</v>
      </c>
      <c r="C183" s="0" t="s">
        <v>152</v>
      </c>
      <c r="D183" s="0" t="s">
        <v>27</v>
      </c>
      <c r="E183" s="0" t="s">
        <v>28</v>
      </c>
      <c r="F183" s="0" t="s">
        <v>130</v>
      </c>
      <c r="G183" s="0" t="s">
        <v>828</v>
      </c>
      <c r="H183" s="0" t="s">
        <v>31</v>
      </c>
      <c r="I183" s="0" t="s">
        <v>336</v>
      </c>
      <c r="J183" s="0" t="s">
        <v>59</v>
      </c>
      <c r="K183" s="0" t="n">
        <v>3</v>
      </c>
      <c r="L183" s="0" t="n">
        <v>2</v>
      </c>
      <c r="M183" s="0" t="n">
        <v>4</v>
      </c>
      <c r="N183" s="0" t="n">
        <v>3</v>
      </c>
      <c r="O183" s="0" t="n">
        <f aca="false">SUM(K183:N183)</f>
        <v>12</v>
      </c>
      <c r="P183" s="0" t="str">
        <f aca="false">IF(O183&gt;=15,"Yes","No")</f>
        <v>No</v>
      </c>
      <c r="Q183" s="0" t="s">
        <v>159</v>
      </c>
      <c r="R183" s="2" t="n">
        <v>182000</v>
      </c>
      <c r="S183" s="3" t="n">
        <v>0.05</v>
      </c>
      <c r="T183" s="2" t="n">
        <f aca="false">R183*S183</f>
        <v>9100</v>
      </c>
      <c r="U183" s="4" t="s">
        <v>617</v>
      </c>
    </row>
    <row r="184" customFormat="false" ht="15" hidden="false" customHeight="false" outlineLevel="0" collapsed="false">
      <c r="A184" s="0" t="s">
        <v>829</v>
      </c>
      <c r="B184" s="0" t="s">
        <v>830</v>
      </c>
      <c r="C184" s="0" t="s">
        <v>52</v>
      </c>
      <c r="D184" s="0" t="s">
        <v>27</v>
      </c>
      <c r="E184" s="0" t="s">
        <v>136</v>
      </c>
      <c r="F184" s="0" t="s">
        <v>55</v>
      </c>
      <c r="G184" s="0" t="s">
        <v>190</v>
      </c>
      <c r="H184" s="0" t="s">
        <v>57</v>
      </c>
      <c r="I184" s="0" t="s">
        <v>690</v>
      </c>
      <c r="J184" s="0" t="s">
        <v>78</v>
      </c>
      <c r="K184" s="0" t="n">
        <v>2</v>
      </c>
      <c r="L184" s="0" t="n">
        <v>1</v>
      </c>
      <c r="M184" s="0" t="n">
        <v>1</v>
      </c>
      <c r="N184" s="0" t="n">
        <v>3</v>
      </c>
      <c r="O184" s="0" t="n">
        <f aca="false">SUM(K184:N184)</f>
        <v>7</v>
      </c>
      <c r="P184" s="0" t="str">
        <f aca="false">IF(O184&gt;=15,"Yes","No")</f>
        <v>No</v>
      </c>
      <c r="Q184" s="0" t="s">
        <v>60</v>
      </c>
      <c r="R184" s="2" t="n">
        <v>136000</v>
      </c>
      <c r="S184" s="3" t="n">
        <v>0.15</v>
      </c>
      <c r="T184" s="2" t="n">
        <f aca="false">R184*S184</f>
        <v>20400</v>
      </c>
      <c r="U184" s="4" t="s">
        <v>831</v>
      </c>
    </row>
    <row r="185" customFormat="false" ht="15" hidden="false" customHeight="false" outlineLevel="0" collapsed="false">
      <c r="A185" s="0" t="s">
        <v>832</v>
      </c>
      <c r="B185" s="0" t="s">
        <v>833</v>
      </c>
      <c r="C185" s="0" t="s">
        <v>39</v>
      </c>
      <c r="D185" s="0" t="s">
        <v>27</v>
      </c>
      <c r="E185" s="0" t="s">
        <v>92</v>
      </c>
      <c r="F185" s="0" t="s">
        <v>179</v>
      </c>
      <c r="G185" s="0" t="s">
        <v>735</v>
      </c>
      <c r="H185" s="0" t="s">
        <v>86</v>
      </c>
      <c r="I185" s="0" t="s">
        <v>834</v>
      </c>
      <c r="J185" s="0" t="s">
        <v>69</v>
      </c>
      <c r="K185" s="0" t="n">
        <v>3</v>
      </c>
      <c r="L185" s="0" t="n">
        <v>2</v>
      </c>
      <c r="M185" s="0" t="n">
        <v>2</v>
      </c>
      <c r="N185" s="0" t="n">
        <v>2</v>
      </c>
      <c r="O185" s="0" t="n">
        <f aca="false">SUM(K185:N185)</f>
        <v>9</v>
      </c>
      <c r="P185" s="0" t="str">
        <f aca="false">IF(O185&gt;=15,"Yes","No")</f>
        <v>No</v>
      </c>
      <c r="Q185" s="0" t="s">
        <v>115</v>
      </c>
      <c r="R185" s="2" t="n">
        <v>205000</v>
      </c>
      <c r="S185" s="3" t="n">
        <v>0.35</v>
      </c>
      <c r="T185" s="2" t="n">
        <f aca="false">R185*S185</f>
        <v>71750</v>
      </c>
      <c r="U185" s="4" t="s">
        <v>149</v>
      </c>
    </row>
    <row r="186" customFormat="false" ht="15" hidden="false" customHeight="false" outlineLevel="0" collapsed="false">
      <c r="A186" s="0" t="s">
        <v>835</v>
      </c>
      <c r="B186" s="0" t="s">
        <v>646</v>
      </c>
      <c r="C186" s="0" t="s">
        <v>264</v>
      </c>
      <c r="D186" s="0" t="s">
        <v>64</v>
      </c>
      <c r="E186" s="0" t="s">
        <v>111</v>
      </c>
      <c r="F186" s="0" t="s">
        <v>41</v>
      </c>
      <c r="G186" s="0" t="s">
        <v>113</v>
      </c>
      <c r="H186" s="0" t="s">
        <v>86</v>
      </c>
      <c r="I186" s="0" t="s">
        <v>475</v>
      </c>
      <c r="J186" s="0" t="s">
        <v>33</v>
      </c>
      <c r="K186" s="0" t="n">
        <v>1</v>
      </c>
      <c r="L186" s="0" t="n">
        <v>1</v>
      </c>
      <c r="M186" s="0" t="n">
        <v>1</v>
      </c>
      <c r="N186" s="0" t="n">
        <v>2</v>
      </c>
      <c r="O186" s="0" t="n">
        <f aca="false">SUM(K186:N186)</f>
        <v>5</v>
      </c>
      <c r="P186" s="0" t="str">
        <f aca="false">IF(O186&gt;=15,"Yes","No")</f>
        <v>No</v>
      </c>
      <c r="Q186" s="0" t="s">
        <v>46</v>
      </c>
      <c r="R186" s="2" t="n">
        <v>1828000</v>
      </c>
      <c r="S186" s="3" t="n">
        <v>0</v>
      </c>
      <c r="T186" s="2" t="n">
        <f aca="false">R186*S186</f>
        <v>0</v>
      </c>
      <c r="U186" s="4" t="s">
        <v>836</v>
      </c>
      <c r="V186" s="4" t="s">
        <v>766</v>
      </c>
      <c r="W186" s="0" t="n">
        <v>31</v>
      </c>
      <c r="X186" s="4" t="s">
        <v>326</v>
      </c>
    </row>
    <row r="187" customFormat="false" ht="15" hidden="false" customHeight="false" outlineLevel="0" collapsed="false">
      <c r="A187" s="0" t="s">
        <v>837</v>
      </c>
      <c r="B187" s="0" t="s">
        <v>497</v>
      </c>
      <c r="C187" s="0" t="s">
        <v>74</v>
      </c>
      <c r="D187" s="0" t="s">
        <v>27</v>
      </c>
      <c r="E187" s="0" t="s">
        <v>40</v>
      </c>
      <c r="F187" s="0" t="s">
        <v>130</v>
      </c>
      <c r="G187" s="0" t="s">
        <v>838</v>
      </c>
      <c r="H187" s="0" t="s">
        <v>31</v>
      </c>
      <c r="I187" s="0" t="s">
        <v>648</v>
      </c>
      <c r="J187" s="0" t="s">
        <v>45</v>
      </c>
      <c r="K187" s="0" t="n">
        <v>5</v>
      </c>
      <c r="L187" s="0" t="n">
        <v>3</v>
      </c>
      <c r="M187" s="0" t="n">
        <v>2</v>
      </c>
      <c r="N187" s="0" t="n">
        <v>2</v>
      </c>
      <c r="O187" s="0" t="n">
        <f aca="false">SUM(K187:N187)</f>
        <v>12</v>
      </c>
      <c r="P187" s="0" t="str">
        <f aca="false">IF(O187&gt;=15,"Yes","No")</f>
        <v>No</v>
      </c>
      <c r="Q187" s="0" t="s">
        <v>46</v>
      </c>
      <c r="R187" s="2" t="n">
        <v>217000</v>
      </c>
      <c r="S187" s="3" t="n">
        <v>0</v>
      </c>
      <c r="T187" s="2" t="n">
        <f aca="false">R187*S187</f>
        <v>0</v>
      </c>
      <c r="U187" s="4" t="s">
        <v>211</v>
      </c>
      <c r="V187" s="4" t="s">
        <v>324</v>
      </c>
      <c r="W187" s="0" t="n">
        <v>28</v>
      </c>
      <c r="X187" s="4" t="s">
        <v>257</v>
      </c>
    </row>
    <row r="188" customFormat="false" ht="15" hidden="false" customHeight="false" outlineLevel="0" collapsed="false">
      <c r="A188" s="0" t="s">
        <v>839</v>
      </c>
      <c r="B188" s="0" t="s">
        <v>204</v>
      </c>
      <c r="C188" s="0" t="s">
        <v>26</v>
      </c>
      <c r="D188" s="0" t="s">
        <v>53</v>
      </c>
      <c r="E188" s="0" t="s">
        <v>99</v>
      </c>
      <c r="F188" s="0" t="s">
        <v>41</v>
      </c>
      <c r="G188" s="0" t="s">
        <v>840</v>
      </c>
      <c r="H188" s="0" t="s">
        <v>43</v>
      </c>
      <c r="I188" s="0" t="s">
        <v>782</v>
      </c>
      <c r="J188" s="0" t="s">
        <v>59</v>
      </c>
      <c r="K188" s="0" t="n">
        <v>3</v>
      </c>
      <c r="L188" s="0" t="n">
        <v>5</v>
      </c>
      <c r="M188" s="0" t="n">
        <v>4</v>
      </c>
      <c r="N188" s="0" t="n">
        <v>3</v>
      </c>
      <c r="O188" s="0" t="n">
        <f aca="false">SUM(K188:N188)</f>
        <v>15</v>
      </c>
      <c r="P188" s="0" t="str">
        <f aca="false">IF(O188&gt;=15,"Yes","No")</f>
        <v>Yes</v>
      </c>
      <c r="Q188" s="0" t="s">
        <v>60</v>
      </c>
      <c r="R188" s="2" t="n">
        <v>665000</v>
      </c>
      <c r="S188" s="3" t="n">
        <v>0.15</v>
      </c>
      <c r="T188" s="2" t="n">
        <f aca="false">R188*S188</f>
        <v>99750</v>
      </c>
      <c r="U188" s="4" t="s">
        <v>356</v>
      </c>
    </row>
    <row r="189" customFormat="false" ht="15" hidden="false" customHeight="false" outlineLevel="0" collapsed="false">
      <c r="A189" s="0" t="s">
        <v>841</v>
      </c>
      <c r="B189" s="0" t="s">
        <v>842</v>
      </c>
      <c r="C189" s="0" t="s">
        <v>39</v>
      </c>
      <c r="D189" s="0" t="s">
        <v>27</v>
      </c>
      <c r="E189" s="0" t="s">
        <v>111</v>
      </c>
      <c r="F189" s="0" t="s">
        <v>55</v>
      </c>
      <c r="G189" s="0" t="s">
        <v>328</v>
      </c>
      <c r="H189" s="0" t="s">
        <v>86</v>
      </c>
      <c r="I189" s="0" t="s">
        <v>431</v>
      </c>
      <c r="J189" s="0" t="s">
        <v>78</v>
      </c>
      <c r="K189" s="0" t="n">
        <v>1</v>
      </c>
      <c r="L189" s="0" t="n">
        <v>3</v>
      </c>
      <c r="M189" s="0" t="n">
        <v>2</v>
      </c>
      <c r="N189" s="0" t="n">
        <v>2</v>
      </c>
      <c r="O189" s="0" t="n">
        <f aca="false">SUM(K189:N189)</f>
        <v>8</v>
      </c>
      <c r="P189" s="0" t="str">
        <f aca="false">IF(O189&gt;=15,"Yes","No")</f>
        <v>No</v>
      </c>
      <c r="Q189" s="0" t="s">
        <v>46</v>
      </c>
      <c r="R189" s="2" t="n">
        <v>161000</v>
      </c>
      <c r="S189" s="3" t="n">
        <v>0</v>
      </c>
      <c r="T189" s="2" t="n">
        <f aca="false">R189*S189</f>
        <v>0</v>
      </c>
      <c r="U189" s="4" t="s">
        <v>843</v>
      </c>
      <c r="V189" s="4" t="s">
        <v>844</v>
      </c>
      <c r="W189" s="0" t="n">
        <v>53</v>
      </c>
      <c r="X189" s="4" t="s">
        <v>257</v>
      </c>
    </row>
    <row r="190" customFormat="false" ht="15" hidden="false" customHeight="false" outlineLevel="0" collapsed="false">
      <c r="A190" s="0" t="s">
        <v>845</v>
      </c>
      <c r="B190" s="0" t="s">
        <v>846</v>
      </c>
      <c r="C190" s="0" t="s">
        <v>52</v>
      </c>
      <c r="D190" s="0" t="s">
        <v>53</v>
      </c>
      <c r="E190" s="0" t="s">
        <v>322</v>
      </c>
      <c r="F190" s="0" t="s">
        <v>179</v>
      </c>
      <c r="G190" s="0" t="s">
        <v>847</v>
      </c>
      <c r="H190" s="0" t="s">
        <v>57</v>
      </c>
      <c r="I190" s="0" t="s">
        <v>400</v>
      </c>
      <c r="J190" s="0" t="s">
        <v>59</v>
      </c>
      <c r="K190" s="0" t="n">
        <v>4</v>
      </c>
      <c r="L190" s="0" t="n">
        <v>3</v>
      </c>
      <c r="M190" s="0" t="n">
        <v>2</v>
      </c>
      <c r="N190" s="0" t="n">
        <v>3</v>
      </c>
      <c r="O190" s="0" t="n">
        <f aca="false">SUM(K190:N190)</f>
        <v>12</v>
      </c>
      <c r="P190" s="0" t="str">
        <f aca="false">IF(O190&gt;=15,"Yes","No")</f>
        <v>No</v>
      </c>
      <c r="Q190" s="0" t="s">
        <v>46</v>
      </c>
      <c r="R190" s="2" t="n">
        <v>670000</v>
      </c>
      <c r="S190" s="3" t="n">
        <v>0</v>
      </c>
      <c r="T190" s="2" t="n">
        <f aca="false">R190*S190</f>
        <v>0</v>
      </c>
      <c r="U190" s="4" t="s">
        <v>848</v>
      </c>
      <c r="V190" s="4" t="s">
        <v>250</v>
      </c>
      <c r="W190" s="0" t="n">
        <v>22</v>
      </c>
      <c r="X190" s="4" t="s">
        <v>443</v>
      </c>
    </row>
    <row r="191" customFormat="false" ht="15" hidden="false" customHeight="false" outlineLevel="0" collapsed="false">
      <c r="A191" s="0" t="s">
        <v>849</v>
      </c>
      <c r="B191" s="0" t="s">
        <v>850</v>
      </c>
      <c r="C191" s="0" t="s">
        <v>74</v>
      </c>
      <c r="D191" s="0" t="s">
        <v>53</v>
      </c>
      <c r="E191" s="0" t="s">
        <v>92</v>
      </c>
      <c r="F191" s="0" t="s">
        <v>29</v>
      </c>
      <c r="G191" s="0" t="s">
        <v>439</v>
      </c>
      <c r="H191" s="0" t="s">
        <v>86</v>
      </c>
      <c r="I191" s="0" t="s">
        <v>851</v>
      </c>
      <c r="J191" s="0" t="s">
        <v>45</v>
      </c>
      <c r="K191" s="0" t="n">
        <v>1</v>
      </c>
      <c r="L191" s="0" t="n">
        <v>1</v>
      </c>
      <c r="M191" s="0" t="n">
        <v>1</v>
      </c>
      <c r="N191" s="0" t="n">
        <v>1</v>
      </c>
      <c r="O191" s="0" t="n">
        <f aca="false">SUM(K191:N191)</f>
        <v>4</v>
      </c>
      <c r="P191" s="0" t="str">
        <f aca="false">IF(O191&gt;=15,"Yes","No")</f>
        <v>No</v>
      </c>
      <c r="Q191" s="0" t="s">
        <v>60</v>
      </c>
      <c r="R191" s="2" t="n">
        <v>832000</v>
      </c>
      <c r="S191" s="3" t="n">
        <v>0.15</v>
      </c>
      <c r="T191" s="2" t="n">
        <f aca="false">R191*S191</f>
        <v>124800</v>
      </c>
      <c r="U191" s="4" t="s">
        <v>852</v>
      </c>
    </row>
    <row r="192" customFormat="false" ht="15" hidden="false" customHeight="false" outlineLevel="0" collapsed="false">
      <c r="A192" s="0" t="s">
        <v>853</v>
      </c>
      <c r="B192" s="0" t="s">
        <v>854</v>
      </c>
      <c r="C192" s="0" t="s">
        <v>129</v>
      </c>
      <c r="D192" s="0" t="s">
        <v>53</v>
      </c>
      <c r="E192" s="0" t="s">
        <v>54</v>
      </c>
      <c r="F192" s="0" t="s">
        <v>75</v>
      </c>
      <c r="G192" s="0" t="s">
        <v>365</v>
      </c>
      <c r="H192" s="0" t="s">
        <v>86</v>
      </c>
      <c r="I192" s="0" t="s">
        <v>319</v>
      </c>
      <c r="J192" s="0" t="s">
        <v>69</v>
      </c>
      <c r="K192" s="0" t="n">
        <v>2</v>
      </c>
      <c r="L192" s="0" t="n">
        <v>4</v>
      </c>
      <c r="M192" s="0" t="n">
        <v>3</v>
      </c>
      <c r="N192" s="0" t="n">
        <v>1</v>
      </c>
      <c r="O192" s="0" t="n">
        <f aca="false">SUM(K192:N192)</f>
        <v>10</v>
      </c>
      <c r="P192" s="0" t="str">
        <f aca="false">IF(O192&gt;=15,"Yes","No")</f>
        <v>No</v>
      </c>
      <c r="Q192" s="0" t="s">
        <v>159</v>
      </c>
      <c r="R192" s="2" t="n">
        <v>588000</v>
      </c>
      <c r="S192" s="3" t="n">
        <v>0.05</v>
      </c>
      <c r="T192" s="2" t="n">
        <f aca="false">R192*S192</f>
        <v>29400</v>
      </c>
      <c r="U192" s="4" t="s">
        <v>562</v>
      </c>
    </row>
    <row r="193" customFormat="false" ht="15" hidden="false" customHeight="false" outlineLevel="0" collapsed="false">
      <c r="A193" s="0" t="s">
        <v>855</v>
      </c>
      <c r="B193" s="0" t="s">
        <v>38</v>
      </c>
      <c r="C193" s="0" t="s">
        <v>26</v>
      </c>
      <c r="D193" s="0" t="s">
        <v>53</v>
      </c>
      <c r="E193" s="0" t="s">
        <v>142</v>
      </c>
      <c r="F193" s="0" t="s">
        <v>41</v>
      </c>
      <c r="G193" s="0" t="s">
        <v>856</v>
      </c>
      <c r="H193" s="0" t="s">
        <v>86</v>
      </c>
      <c r="I193" s="0" t="s">
        <v>857</v>
      </c>
      <c r="J193" s="0" t="s">
        <v>45</v>
      </c>
      <c r="K193" s="0" t="n">
        <v>2</v>
      </c>
      <c r="L193" s="0" t="n">
        <v>1</v>
      </c>
      <c r="M193" s="0" t="n">
        <v>2</v>
      </c>
      <c r="N193" s="0" t="n">
        <v>1</v>
      </c>
      <c r="O193" s="0" t="n">
        <f aca="false">SUM(K193:N193)</f>
        <v>6</v>
      </c>
      <c r="P193" s="0" t="str">
        <f aca="false">IF(O193&gt;=15,"Yes","No")</f>
        <v>No</v>
      </c>
      <c r="Q193" s="0" t="s">
        <v>60</v>
      </c>
      <c r="R193" s="2" t="n">
        <v>883000</v>
      </c>
      <c r="S193" s="3" t="n">
        <v>0.15</v>
      </c>
      <c r="T193" s="2" t="n">
        <f aca="false">R193*S193</f>
        <v>132450</v>
      </c>
      <c r="U193" s="4" t="s">
        <v>858</v>
      </c>
    </row>
    <row r="194" customFormat="false" ht="15" hidden="false" customHeight="false" outlineLevel="0" collapsed="false">
      <c r="A194" s="0" t="s">
        <v>859</v>
      </c>
      <c r="B194" s="0" t="s">
        <v>860</v>
      </c>
      <c r="C194" s="0" t="s">
        <v>26</v>
      </c>
      <c r="D194" s="0" t="s">
        <v>27</v>
      </c>
      <c r="E194" s="0" t="s">
        <v>178</v>
      </c>
      <c r="F194" s="0" t="s">
        <v>179</v>
      </c>
      <c r="G194" s="0" t="s">
        <v>861</v>
      </c>
      <c r="H194" s="0" t="s">
        <v>67</v>
      </c>
      <c r="I194" s="0" t="s">
        <v>527</v>
      </c>
      <c r="J194" s="0" t="s">
        <v>33</v>
      </c>
      <c r="K194" s="0" t="n">
        <v>3</v>
      </c>
      <c r="L194" s="0" t="n">
        <v>3</v>
      </c>
      <c r="M194" s="0" t="n">
        <v>3</v>
      </c>
      <c r="N194" s="0" t="n">
        <v>2</v>
      </c>
      <c r="O194" s="0" t="n">
        <f aca="false">SUM(K194:N194)</f>
        <v>11</v>
      </c>
      <c r="P194" s="0" t="str">
        <f aca="false">IF(O194&gt;=15,"Yes","No")</f>
        <v>No</v>
      </c>
      <c r="Q194" s="0" t="s">
        <v>159</v>
      </c>
      <c r="R194" s="2" t="n">
        <v>241000</v>
      </c>
      <c r="S194" s="3" t="n">
        <v>0.05</v>
      </c>
      <c r="T194" s="2" t="n">
        <f aca="false">R194*S194</f>
        <v>12050</v>
      </c>
      <c r="U194" s="4" t="s">
        <v>309</v>
      </c>
    </row>
    <row r="195" customFormat="false" ht="15" hidden="false" customHeight="false" outlineLevel="0" collapsed="false">
      <c r="A195" s="0" t="s">
        <v>862</v>
      </c>
      <c r="B195" s="0" t="s">
        <v>863</v>
      </c>
      <c r="C195" s="0" t="s">
        <v>74</v>
      </c>
      <c r="D195" s="0" t="s">
        <v>53</v>
      </c>
      <c r="E195" s="0" t="s">
        <v>195</v>
      </c>
      <c r="F195" s="0" t="s">
        <v>179</v>
      </c>
      <c r="G195" s="0" t="s">
        <v>864</v>
      </c>
      <c r="H195" s="0" t="s">
        <v>57</v>
      </c>
      <c r="I195" s="0" t="s">
        <v>865</v>
      </c>
      <c r="J195" s="0" t="s">
        <v>59</v>
      </c>
      <c r="K195" s="0" t="n">
        <v>2</v>
      </c>
      <c r="L195" s="0" t="n">
        <v>3</v>
      </c>
      <c r="M195" s="0" t="n">
        <v>1</v>
      </c>
      <c r="N195" s="0" t="n">
        <v>3</v>
      </c>
      <c r="O195" s="0" t="n">
        <f aca="false">SUM(K195:N195)</f>
        <v>9</v>
      </c>
      <c r="P195" s="0" t="str">
        <f aca="false">IF(O195&gt;=15,"Yes","No")</f>
        <v>No</v>
      </c>
      <c r="Q195" s="0" t="s">
        <v>60</v>
      </c>
      <c r="R195" s="2" t="n">
        <v>600000</v>
      </c>
      <c r="S195" s="3" t="n">
        <v>0.15</v>
      </c>
      <c r="T195" s="2" t="n">
        <f aca="false">R195*S195</f>
        <v>90000</v>
      </c>
      <c r="U195" s="4" t="s">
        <v>866</v>
      </c>
    </row>
    <row r="196" customFormat="false" ht="15" hidden="false" customHeight="false" outlineLevel="0" collapsed="false">
      <c r="A196" s="0" t="s">
        <v>867</v>
      </c>
      <c r="B196" s="0" t="s">
        <v>428</v>
      </c>
      <c r="C196" s="0" t="s">
        <v>74</v>
      </c>
      <c r="D196" s="0" t="s">
        <v>53</v>
      </c>
      <c r="E196" s="0" t="s">
        <v>92</v>
      </c>
      <c r="F196" s="0" t="s">
        <v>55</v>
      </c>
      <c r="G196" s="0" t="s">
        <v>868</v>
      </c>
      <c r="H196" s="0" t="s">
        <v>86</v>
      </c>
      <c r="I196" s="0" t="s">
        <v>388</v>
      </c>
      <c r="J196" s="0" t="s">
        <v>45</v>
      </c>
      <c r="K196" s="0" t="n">
        <v>1</v>
      </c>
      <c r="L196" s="0" t="n">
        <v>2</v>
      </c>
      <c r="M196" s="0" t="n">
        <v>3</v>
      </c>
      <c r="N196" s="0" t="n">
        <v>3</v>
      </c>
      <c r="O196" s="0" t="n">
        <f aca="false">SUM(K196:N196)</f>
        <v>9</v>
      </c>
      <c r="P196" s="0" t="str">
        <f aca="false">IF(O196&gt;=15,"Yes","No")</f>
        <v>No</v>
      </c>
      <c r="Q196" s="0" t="s">
        <v>70</v>
      </c>
      <c r="R196" s="2" t="n">
        <v>783000</v>
      </c>
      <c r="S196" s="3" t="n">
        <v>0.55</v>
      </c>
      <c r="T196" s="2" t="n">
        <f aca="false">R196*S196</f>
        <v>430650</v>
      </c>
      <c r="U196" s="4" t="s">
        <v>869</v>
      </c>
    </row>
    <row r="197" customFormat="false" ht="15" hidden="false" customHeight="false" outlineLevel="0" collapsed="false">
      <c r="A197" s="0" t="s">
        <v>870</v>
      </c>
      <c r="B197" s="0" t="s">
        <v>716</v>
      </c>
      <c r="C197" s="0" t="s">
        <v>74</v>
      </c>
      <c r="D197" s="0" t="s">
        <v>27</v>
      </c>
      <c r="E197" s="0" t="s">
        <v>28</v>
      </c>
      <c r="F197" s="0" t="s">
        <v>41</v>
      </c>
      <c r="G197" s="0" t="s">
        <v>488</v>
      </c>
      <c r="H197" s="0" t="s">
        <v>86</v>
      </c>
      <c r="I197" s="0" t="s">
        <v>871</v>
      </c>
      <c r="J197" s="0" t="s">
        <v>45</v>
      </c>
      <c r="K197" s="0" t="n">
        <v>3</v>
      </c>
      <c r="L197" s="0" t="n">
        <v>3</v>
      </c>
      <c r="M197" s="0" t="n">
        <v>1</v>
      </c>
      <c r="N197" s="0" t="n">
        <v>3</v>
      </c>
      <c r="O197" s="0" t="n">
        <f aca="false">SUM(K197:N197)</f>
        <v>10</v>
      </c>
      <c r="P197" s="0" t="str">
        <f aca="false">IF(O197&gt;=15,"Yes","No")</f>
        <v>No</v>
      </c>
      <c r="Q197" s="0" t="s">
        <v>60</v>
      </c>
      <c r="R197" s="2" t="n">
        <v>247000</v>
      </c>
      <c r="S197" s="3" t="n">
        <v>0.15</v>
      </c>
      <c r="T197" s="2" t="n">
        <f aca="false">R197*S197</f>
        <v>37050</v>
      </c>
      <c r="U197" s="4" t="s">
        <v>132</v>
      </c>
    </row>
    <row r="198" customFormat="false" ht="15" hidden="false" customHeight="false" outlineLevel="0" collapsed="false">
      <c r="A198" s="0" t="s">
        <v>872</v>
      </c>
      <c r="B198" s="0" t="s">
        <v>438</v>
      </c>
      <c r="C198" s="0" t="s">
        <v>39</v>
      </c>
      <c r="D198" s="0" t="s">
        <v>53</v>
      </c>
      <c r="E198" s="0" t="s">
        <v>28</v>
      </c>
      <c r="F198" s="0" t="s">
        <v>75</v>
      </c>
      <c r="G198" s="0" t="s">
        <v>873</v>
      </c>
      <c r="H198" s="0" t="s">
        <v>67</v>
      </c>
      <c r="I198" s="0" t="s">
        <v>254</v>
      </c>
      <c r="J198" s="0" t="s">
        <v>69</v>
      </c>
      <c r="K198" s="0" t="n">
        <v>1</v>
      </c>
      <c r="L198" s="0" t="n">
        <v>3</v>
      </c>
      <c r="M198" s="0" t="n">
        <v>5</v>
      </c>
      <c r="N198" s="0" t="n">
        <v>2</v>
      </c>
      <c r="O198" s="0" t="n">
        <f aca="false">SUM(K198:N198)</f>
        <v>11</v>
      </c>
      <c r="P198" s="0" t="str">
        <f aca="false">IF(O198&gt;=15,"Yes","No")</f>
        <v>No</v>
      </c>
      <c r="Q198" s="0" t="s">
        <v>60</v>
      </c>
      <c r="R198" s="2" t="n">
        <v>825000</v>
      </c>
      <c r="S198" s="3" t="n">
        <v>0.15</v>
      </c>
      <c r="T198" s="2" t="n">
        <f aca="false">R198*S198</f>
        <v>123750</v>
      </c>
      <c r="U198" s="4" t="s">
        <v>401</v>
      </c>
    </row>
    <row r="199" customFormat="false" ht="15" hidden="false" customHeight="false" outlineLevel="0" collapsed="false">
      <c r="A199" s="0" t="s">
        <v>874</v>
      </c>
      <c r="B199" s="0" t="s">
        <v>312</v>
      </c>
      <c r="C199" s="0" t="s">
        <v>129</v>
      </c>
      <c r="D199" s="0" t="s">
        <v>27</v>
      </c>
      <c r="E199" s="0" t="s">
        <v>28</v>
      </c>
      <c r="F199" s="0" t="s">
        <v>41</v>
      </c>
      <c r="G199" s="0" t="s">
        <v>875</v>
      </c>
      <c r="H199" s="0" t="s">
        <v>86</v>
      </c>
      <c r="I199" s="0" t="s">
        <v>520</v>
      </c>
      <c r="J199" s="0" t="s">
        <v>59</v>
      </c>
      <c r="K199" s="0" t="n">
        <v>1</v>
      </c>
      <c r="L199" s="0" t="n">
        <v>1</v>
      </c>
      <c r="M199" s="0" t="n">
        <v>4</v>
      </c>
      <c r="N199" s="0" t="n">
        <v>3</v>
      </c>
      <c r="O199" s="0" t="n">
        <f aca="false">SUM(K199:N199)</f>
        <v>9</v>
      </c>
      <c r="P199" s="0" t="str">
        <f aca="false">IF(O199&gt;=15,"Yes","No")</f>
        <v>No</v>
      </c>
      <c r="Q199" s="0" t="s">
        <v>60</v>
      </c>
      <c r="R199" s="2" t="n">
        <v>220000</v>
      </c>
      <c r="S199" s="3" t="n">
        <v>0.15</v>
      </c>
      <c r="T199" s="2" t="n">
        <f aca="false">R199*S199</f>
        <v>33000</v>
      </c>
      <c r="U199" s="4" t="s">
        <v>876</v>
      </c>
    </row>
    <row r="200" customFormat="false" ht="15" hidden="false" customHeight="false" outlineLevel="0" collapsed="false">
      <c r="A200" s="0" t="s">
        <v>877</v>
      </c>
      <c r="B200" s="0" t="s">
        <v>172</v>
      </c>
      <c r="C200" s="0" t="s">
        <v>152</v>
      </c>
      <c r="D200" s="0" t="s">
        <v>53</v>
      </c>
      <c r="E200" s="0" t="s">
        <v>322</v>
      </c>
      <c r="F200" s="0" t="s">
        <v>130</v>
      </c>
      <c r="G200" s="0" t="s">
        <v>878</v>
      </c>
      <c r="H200" s="0" t="s">
        <v>86</v>
      </c>
      <c r="I200" s="0" t="s">
        <v>879</v>
      </c>
      <c r="J200" s="0" t="s">
        <v>33</v>
      </c>
      <c r="K200" s="0" t="n">
        <v>2</v>
      </c>
      <c r="L200" s="0" t="n">
        <v>1</v>
      </c>
      <c r="M200" s="0" t="n">
        <v>2</v>
      </c>
      <c r="N200" s="0" t="n">
        <v>2</v>
      </c>
      <c r="O200" s="0" t="n">
        <f aca="false">SUM(K200:N200)</f>
        <v>7</v>
      </c>
      <c r="P200" s="0" t="str">
        <f aca="false">IF(O200&gt;=15,"Yes","No")</f>
        <v>No</v>
      </c>
      <c r="Q200" s="0" t="s">
        <v>60</v>
      </c>
      <c r="R200" s="2" t="n">
        <v>807000</v>
      </c>
      <c r="S200" s="3" t="n">
        <v>0.15</v>
      </c>
      <c r="T200" s="2" t="n">
        <f aca="false">R200*S200</f>
        <v>121050</v>
      </c>
      <c r="U200" s="4" t="s">
        <v>484</v>
      </c>
    </row>
    <row r="201" customFormat="false" ht="15" hidden="false" customHeight="false" outlineLevel="0" collapsed="false">
      <c r="A201" s="0" t="s">
        <v>880</v>
      </c>
      <c r="B201" s="0" t="s">
        <v>646</v>
      </c>
      <c r="C201" s="0" t="s">
        <v>26</v>
      </c>
      <c r="D201" s="0" t="s">
        <v>27</v>
      </c>
      <c r="E201" s="0" t="s">
        <v>142</v>
      </c>
      <c r="F201" s="0" t="s">
        <v>179</v>
      </c>
      <c r="G201" s="0" t="s">
        <v>168</v>
      </c>
      <c r="H201" s="0" t="s">
        <v>248</v>
      </c>
      <c r="I201" s="0" t="s">
        <v>47</v>
      </c>
      <c r="J201" s="0" t="s">
        <v>45</v>
      </c>
      <c r="K201" s="0" t="n">
        <v>3</v>
      </c>
      <c r="L201" s="0" t="n">
        <v>5</v>
      </c>
      <c r="M201" s="0" t="n">
        <v>2</v>
      </c>
      <c r="N201" s="0" t="n">
        <v>3</v>
      </c>
      <c r="O201" s="0" t="n">
        <f aca="false">SUM(K201:N201)</f>
        <v>13</v>
      </c>
      <c r="P201" s="0" t="str">
        <f aca="false">IF(O201&gt;=15,"Yes","No")</f>
        <v>No</v>
      </c>
      <c r="Q201" s="0" t="s">
        <v>46</v>
      </c>
      <c r="R201" s="2" t="n">
        <v>213000</v>
      </c>
      <c r="S201" s="3" t="n">
        <v>0</v>
      </c>
      <c r="T201" s="2" t="n">
        <f aca="false">R201*S201</f>
        <v>0</v>
      </c>
      <c r="U201" s="4" t="s">
        <v>881</v>
      </c>
      <c r="V201" s="4" t="s">
        <v>624</v>
      </c>
      <c r="W201" s="0" t="n">
        <v>12</v>
      </c>
      <c r="X201" s="4" t="s">
        <v>326</v>
      </c>
    </row>
    <row r="202" customFormat="false" ht="15" hidden="false" customHeight="false" outlineLevel="0" collapsed="false">
      <c r="A202" s="0" t="s">
        <v>882</v>
      </c>
      <c r="B202" s="0" t="s">
        <v>883</v>
      </c>
      <c r="C202" s="0" t="s">
        <v>52</v>
      </c>
      <c r="D202" s="0" t="s">
        <v>27</v>
      </c>
      <c r="E202" s="0" t="s">
        <v>65</v>
      </c>
      <c r="F202" s="0" t="s">
        <v>75</v>
      </c>
      <c r="G202" s="0" t="s">
        <v>884</v>
      </c>
      <c r="H202" s="0" t="s">
        <v>57</v>
      </c>
      <c r="I202" s="0" t="s">
        <v>885</v>
      </c>
      <c r="J202" s="0" t="s">
        <v>33</v>
      </c>
      <c r="K202" s="0" t="n">
        <v>3</v>
      </c>
      <c r="L202" s="0" t="n">
        <v>3</v>
      </c>
      <c r="M202" s="0" t="n">
        <v>2</v>
      </c>
      <c r="N202" s="0" t="n">
        <v>1</v>
      </c>
      <c r="O202" s="0" t="n">
        <f aca="false">SUM(K202:N202)</f>
        <v>9</v>
      </c>
      <c r="P202" s="0" t="str">
        <f aca="false">IF(O202&gt;=15,"Yes","No")</f>
        <v>No</v>
      </c>
      <c r="Q202" s="0" t="s">
        <v>159</v>
      </c>
      <c r="R202" s="2" t="n">
        <v>244000</v>
      </c>
      <c r="S202" s="3" t="n">
        <v>0.05</v>
      </c>
      <c r="T202" s="2" t="n">
        <f aca="false">R202*S202</f>
        <v>12200</v>
      </c>
      <c r="U202" s="4" t="s">
        <v>886</v>
      </c>
    </row>
    <row r="203" customFormat="false" ht="15" hidden="false" customHeight="false" outlineLevel="0" collapsed="false">
      <c r="A203" s="0" t="s">
        <v>887</v>
      </c>
      <c r="B203" s="0" t="s">
        <v>888</v>
      </c>
      <c r="C203" s="0" t="s">
        <v>152</v>
      </c>
      <c r="D203" s="0" t="s">
        <v>27</v>
      </c>
      <c r="E203" s="0" t="s">
        <v>65</v>
      </c>
      <c r="F203" s="0" t="s">
        <v>41</v>
      </c>
      <c r="G203" s="0" t="s">
        <v>889</v>
      </c>
      <c r="H203" s="0" t="s">
        <v>57</v>
      </c>
      <c r="I203" s="0" t="s">
        <v>485</v>
      </c>
      <c r="J203" s="0" t="s">
        <v>78</v>
      </c>
      <c r="K203" s="0" t="n">
        <v>1</v>
      </c>
      <c r="L203" s="0" t="n">
        <v>3</v>
      </c>
      <c r="M203" s="0" t="n">
        <v>4</v>
      </c>
      <c r="N203" s="0" t="n">
        <v>2</v>
      </c>
      <c r="O203" s="0" t="n">
        <f aca="false">SUM(K203:N203)</f>
        <v>10</v>
      </c>
      <c r="P203" s="0" t="str">
        <f aca="false">IF(O203&gt;=15,"Yes","No")</f>
        <v>No</v>
      </c>
      <c r="Q203" s="0" t="s">
        <v>159</v>
      </c>
      <c r="R203" s="2" t="n">
        <v>236000</v>
      </c>
      <c r="S203" s="3" t="n">
        <v>0.05</v>
      </c>
      <c r="T203" s="2" t="n">
        <f aca="false">R203*S203</f>
        <v>11800</v>
      </c>
      <c r="U203" s="4" t="s">
        <v>890</v>
      </c>
    </row>
    <row r="204" customFormat="false" ht="15" hidden="false" customHeight="false" outlineLevel="0" collapsed="false">
      <c r="A204" s="0" t="s">
        <v>891</v>
      </c>
      <c r="B204" s="0" t="s">
        <v>892</v>
      </c>
      <c r="C204" s="0" t="s">
        <v>74</v>
      </c>
      <c r="D204" s="0" t="s">
        <v>27</v>
      </c>
      <c r="E204" s="0" t="s">
        <v>105</v>
      </c>
      <c r="F204" s="0" t="s">
        <v>55</v>
      </c>
      <c r="G204" s="0" t="s">
        <v>893</v>
      </c>
      <c r="H204" s="0" t="s">
        <v>248</v>
      </c>
      <c r="I204" s="0" t="s">
        <v>249</v>
      </c>
      <c r="J204" s="0" t="s">
        <v>59</v>
      </c>
      <c r="K204" s="0" t="n">
        <v>2</v>
      </c>
      <c r="L204" s="0" t="n">
        <v>3</v>
      </c>
      <c r="M204" s="0" t="n">
        <v>4</v>
      </c>
      <c r="N204" s="0" t="n">
        <v>4</v>
      </c>
      <c r="O204" s="0" t="n">
        <f aca="false">SUM(K204:N204)</f>
        <v>13</v>
      </c>
      <c r="P204" s="0" t="str">
        <f aca="false">IF(O204&gt;=15,"Yes","No")</f>
        <v>No</v>
      </c>
      <c r="Q204" s="0" t="s">
        <v>159</v>
      </c>
      <c r="R204" s="2" t="n">
        <v>187000</v>
      </c>
      <c r="S204" s="3" t="n">
        <v>0.05</v>
      </c>
      <c r="T204" s="2" t="n">
        <f aca="false">R204*S204</f>
        <v>9350</v>
      </c>
      <c r="U204" s="4" t="s">
        <v>500</v>
      </c>
    </row>
    <row r="205" customFormat="false" ht="15" hidden="false" customHeight="false" outlineLevel="0" collapsed="false">
      <c r="A205" s="0" t="s">
        <v>894</v>
      </c>
      <c r="B205" s="0" t="s">
        <v>700</v>
      </c>
      <c r="C205" s="0" t="s">
        <v>184</v>
      </c>
      <c r="D205" s="0" t="s">
        <v>27</v>
      </c>
      <c r="E205" s="0" t="s">
        <v>178</v>
      </c>
      <c r="F205" s="0" t="s">
        <v>179</v>
      </c>
      <c r="G205" s="0" t="s">
        <v>701</v>
      </c>
      <c r="H205" s="0" t="s">
        <v>57</v>
      </c>
      <c r="I205" s="0" t="s">
        <v>895</v>
      </c>
      <c r="J205" s="0" t="s">
        <v>69</v>
      </c>
      <c r="K205" s="0" t="n">
        <v>3</v>
      </c>
      <c r="L205" s="0" t="n">
        <v>1</v>
      </c>
      <c r="M205" s="0" t="n">
        <v>1</v>
      </c>
      <c r="N205" s="0" t="n">
        <v>2</v>
      </c>
      <c r="O205" s="0" t="n">
        <f aca="false">SUM(K205:N205)</f>
        <v>7</v>
      </c>
      <c r="P205" s="0" t="str">
        <f aca="false">IF(O205&gt;=15,"Yes","No")</f>
        <v>No</v>
      </c>
      <c r="Q205" s="0" t="s">
        <v>60</v>
      </c>
      <c r="R205" s="2" t="n">
        <v>241000</v>
      </c>
      <c r="S205" s="3" t="n">
        <v>0.15</v>
      </c>
      <c r="T205" s="2" t="n">
        <f aca="false">R205*S205</f>
        <v>36150</v>
      </c>
      <c r="U205" s="4" t="s">
        <v>896</v>
      </c>
    </row>
    <row r="206" customFormat="false" ht="15" hidden="false" customHeight="false" outlineLevel="0" collapsed="false">
      <c r="A206" s="0" t="s">
        <v>897</v>
      </c>
      <c r="B206" s="0" t="s">
        <v>898</v>
      </c>
      <c r="C206" s="0" t="s">
        <v>74</v>
      </c>
      <c r="D206" s="0" t="s">
        <v>53</v>
      </c>
      <c r="E206" s="0" t="s">
        <v>178</v>
      </c>
      <c r="F206" s="0" t="s">
        <v>41</v>
      </c>
      <c r="G206" s="0" t="s">
        <v>899</v>
      </c>
      <c r="H206" s="0" t="s">
        <v>248</v>
      </c>
      <c r="I206" s="0" t="s">
        <v>94</v>
      </c>
      <c r="J206" s="0" t="s">
        <v>59</v>
      </c>
      <c r="K206" s="0" t="n">
        <v>4</v>
      </c>
      <c r="L206" s="0" t="n">
        <v>4</v>
      </c>
      <c r="M206" s="0" t="n">
        <v>4</v>
      </c>
      <c r="N206" s="0" t="n">
        <v>1</v>
      </c>
      <c r="O206" s="0" t="n">
        <f aca="false">SUM(K206:N206)</f>
        <v>13</v>
      </c>
      <c r="P206" s="0" t="str">
        <f aca="false">IF(O206&gt;=15,"Yes","No")</f>
        <v>No</v>
      </c>
      <c r="Q206" s="0" t="s">
        <v>159</v>
      </c>
      <c r="R206" s="2" t="n">
        <v>518000</v>
      </c>
      <c r="S206" s="3" t="n">
        <v>0.05</v>
      </c>
      <c r="T206" s="2" t="n">
        <f aca="false">R206*S206</f>
        <v>25900</v>
      </c>
      <c r="U206" s="4" t="s">
        <v>420</v>
      </c>
    </row>
    <row r="207" customFormat="false" ht="15" hidden="false" customHeight="false" outlineLevel="0" collapsed="false">
      <c r="A207" s="0" t="s">
        <v>900</v>
      </c>
      <c r="B207" s="0" t="s">
        <v>123</v>
      </c>
      <c r="C207" s="0" t="s">
        <v>129</v>
      </c>
      <c r="D207" s="0" t="s">
        <v>27</v>
      </c>
      <c r="E207" s="0" t="s">
        <v>136</v>
      </c>
      <c r="F207" s="0" t="s">
        <v>55</v>
      </c>
      <c r="G207" s="0" t="s">
        <v>664</v>
      </c>
      <c r="H207" s="0" t="s">
        <v>86</v>
      </c>
      <c r="I207" s="0" t="s">
        <v>150</v>
      </c>
      <c r="J207" s="0" t="s">
        <v>78</v>
      </c>
      <c r="K207" s="0" t="n">
        <v>3</v>
      </c>
      <c r="L207" s="0" t="n">
        <v>1</v>
      </c>
      <c r="M207" s="0" t="n">
        <v>2</v>
      </c>
      <c r="N207" s="0" t="n">
        <v>4</v>
      </c>
      <c r="O207" s="0" t="n">
        <f aca="false">SUM(K207:N207)</f>
        <v>10</v>
      </c>
      <c r="P207" s="0" t="str">
        <f aca="false">IF(O207&gt;=15,"Yes","No")</f>
        <v>No</v>
      </c>
      <c r="Q207" s="0" t="s">
        <v>115</v>
      </c>
      <c r="R207" s="2" t="n">
        <v>141000</v>
      </c>
      <c r="S207" s="3" t="n">
        <v>0.35</v>
      </c>
      <c r="T207" s="2" t="n">
        <f aca="false">R207*S207</f>
        <v>49350</v>
      </c>
      <c r="U207" s="4" t="s">
        <v>901</v>
      </c>
    </row>
    <row r="208" customFormat="false" ht="15" hidden="false" customHeight="false" outlineLevel="0" collapsed="false">
      <c r="A208" s="0" t="s">
        <v>902</v>
      </c>
      <c r="B208" s="0" t="s">
        <v>903</v>
      </c>
      <c r="C208" s="0" t="s">
        <v>26</v>
      </c>
      <c r="D208" s="0" t="s">
        <v>27</v>
      </c>
      <c r="E208" s="0" t="s">
        <v>142</v>
      </c>
      <c r="F208" s="0" t="s">
        <v>153</v>
      </c>
      <c r="G208" s="0" t="s">
        <v>904</v>
      </c>
      <c r="H208" s="0" t="s">
        <v>86</v>
      </c>
      <c r="I208" s="0" t="s">
        <v>905</v>
      </c>
      <c r="J208" s="0" t="s">
        <v>33</v>
      </c>
      <c r="K208" s="0" t="n">
        <v>2</v>
      </c>
      <c r="L208" s="0" t="n">
        <v>1</v>
      </c>
      <c r="M208" s="0" t="n">
        <v>1</v>
      </c>
      <c r="N208" s="0" t="n">
        <v>1</v>
      </c>
      <c r="O208" s="0" t="n">
        <f aca="false">SUM(K208:N208)</f>
        <v>5</v>
      </c>
      <c r="P208" s="0" t="str">
        <f aca="false">IF(O208&gt;=15,"Yes","No")</f>
        <v>No</v>
      </c>
      <c r="Q208" s="0" t="s">
        <v>60</v>
      </c>
      <c r="R208" s="2" t="n">
        <v>165000</v>
      </c>
      <c r="S208" s="3" t="n">
        <v>0.15</v>
      </c>
      <c r="T208" s="2" t="n">
        <f aca="false">R208*S208</f>
        <v>24750</v>
      </c>
      <c r="U208" s="4" t="s">
        <v>906</v>
      </c>
    </row>
    <row r="209" customFormat="false" ht="15" hidden="false" customHeight="false" outlineLevel="0" collapsed="false">
      <c r="A209" s="0" t="s">
        <v>907</v>
      </c>
      <c r="B209" s="0" t="s">
        <v>453</v>
      </c>
      <c r="C209" s="0" t="s">
        <v>39</v>
      </c>
      <c r="D209" s="0" t="s">
        <v>27</v>
      </c>
      <c r="E209" s="0" t="s">
        <v>178</v>
      </c>
      <c r="F209" s="0" t="s">
        <v>179</v>
      </c>
      <c r="G209" s="0" t="s">
        <v>908</v>
      </c>
      <c r="H209" s="0" t="s">
        <v>67</v>
      </c>
      <c r="I209" s="0" t="s">
        <v>795</v>
      </c>
      <c r="J209" s="0" t="s">
        <v>45</v>
      </c>
      <c r="K209" s="0" t="n">
        <v>3</v>
      </c>
      <c r="L209" s="0" t="n">
        <v>5</v>
      </c>
      <c r="M209" s="0" t="n">
        <v>3</v>
      </c>
      <c r="N209" s="0" t="n">
        <v>2</v>
      </c>
      <c r="O209" s="0" t="n">
        <f aca="false">SUM(K209:N209)</f>
        <v>13</v>
      </c>
      <c r="P209" s="0" t="str">
        <f aca="false">IF(O209&gt;=15,"Yes","No")</f>
        <v>No</v>
      </c>
      <c r="Q209" s="0" t="s">
        <v>60</v>
      </c>
      <c r="R209" s="2" t="n">
        <v>206000</v>
      </c>
      <c r="S209" s="3" t="n">
        <v>0.15</v>
      </c>
      <c r="T209" s="2" t="n">
        <f aca="false">R209*S209</f>
        <v>30900</v>
      </c>
      <c r="U209" s="4" t="s">
        <v>296</v>
      </c>
    </row>
    <row r="210" customFormat="false" ht="15" hidden="false" customHeight="false" outlineLevel="0" collapsed="false">
      <c r="A210" s="0" t="s">
        <v>909</v>
      </c>
      <c r="B210" s="0" t="s">
        <v>464</v>
      </c>
      <c r="C210" s="0" t="s">
        <v>74</v>
      </c>
      <c r="D210" s="0" t="s">
        <v>53</v>
      </c>
      <c r="E210" s="0" t="s">
        <v>322</v>
      </c>
      <c r="F210" s="0" t="s">
        <v>112</v>
      </c>
      <c r="G210" s="0" t="s">
        <v>910</v>
      </c>
      <c r="H210" s="0" t="s">
        <v>67</v>
      </c>
      <c r="I210" s="0" t="s">
        <v>911</v>
      </c>
      <c r="J210" s="0" t="s">
        <v>33</v>
      </c>
      <c r="K210" s="0" t="n">
        <v>2</v>
      </c>
      <c r="L210" s="0" t="n">
        <v>2</v>
      </c>
      <c r="M210" s="0" t="n">
        <v>3</v>
      </c>
      <c r="N210" s="0" t="n">
        <v>2</v>
      </c>
      <c r="O210" s="0" t="n">
        <f aca="false">SUM(K210:N210)</f>
        <v>9</v>
      </c>
      <c r="P210" s="0" t="str">
        <f aca="false">IF(O210&gt;=15,"Yes","No")</f>
        <v>No</v>
      </c>
      <c r="Q210" s="0" t="s">
        <v>60</v>
      </c>
      <c r="R210" s="2" t="n">
        <v>536000</v>
      </c>
      <c r="S210" s="3" t="n">
        <v>0.15</v>
      </c>
      <c r="T210" s="2" t="n">
        <f aca="false">R210*S210</f>
        <v>80400</v>
      </c>
      <c r="U210" s="4" t="s">
        <v>912</v>
      </c>
    </row>
    <row r="211" customFormat="false" ht="15" hidden="false" customHeight="false" outlineLevel="0" collapsed="false">
      <c r="A211" s="0" t="s">
        <v>913</v>
      </c>
      <c r="B211" s="0" t="s">
        <v>631</v>
      </c>
      <c r="C211" s="0" t="s">
        <v>74</v>
      </c>
      <c r="D211" s="0" t="s">
        <v>53</v>
      </c>
      <c r="E211" s="0" t="s">
        <v>215</v>
      </c>
      <c r="F211" s="0" t="s">
        <v>55</v>
      </c>
      <c r="G211" s="0" t="s">
        <v>409</v>
      </c>
      <c r="H211" s="0" t="s">
        <v>86</v>
      </c>
      <c r="I211" s="0" t="s">
        <v>914</v>
      </c>
      <c r="J211" s="0" t="s">
        <v>59</v>
      </c>
      <c r="K211" s="0" t="n">
        <v>3</v>
      </c>
      <c r="L211" s="0" t="n">
        <v>2</v>
      </c>
      <c r="M211" s="0" t="n">
        <v>1</v>
      </c>
      <c r="N211" s="0" t="n">
        <v>1</v>
      </c>
      <c r="O211" s="0" t="n">
        <f aca="false">SUM(K211:N211)</f>
        <v>7</v>
      </c>
      <c r="P211" s="0" t="str">
        <f aca="false">IF(O211&gt;=15,"Yes","No")</f>
        <v>No</v>
      </c>
      <c r="Q211" s="0" t="s">
        <v>159</v>
      </c>
      <c r="R211" s="2" t="n">
        <v>728000</v>
      </c>
      <c r="S211" s="3" t="n">
        <v>0.05</v>
      </c>
      <c r="T211" s="2" t="n">
        <f aca="false">R211*S211</f>
        <v>36400</v>
      </c>
      <c r="U211" s="4" t="s">
        <v>47</v>
      </c>
    </row>
    <row r="212" customFormat="false" ht="15" hidden="false" customHeight="false" outlineLevel="0" collapsed="false">
      <c r="A212" s="0" t="s">
        <v>915</v>
      </c>
      <c r="B212" s="0" t="s">
        <v>659</v>
      </c>
      <c r="C212" s="0" t="s">
        <v>74</v>
      </c>
      <c r="D212" s="0" t="s">
        <v>53</v>
      </c>
      <c r="E212" s="0" t="s">
        <v>99</v>
      </c>
      <c r="F212" s="0" t="s">
        <v>41</v>
      </c>
      <c r="G212" s="0" t="s">
        <v>916</v>
      </c>
      <c r="H212" s="0" t="s">
        <v>86</v>
      </c>
      <c r="I212" s="0" t="s">
        <v>36</v>
      </c>
      <c r="J212" s="0" t="s">
        <v>33</v>
      </c>
      <c r="K212" s="0" t="n">
        <v>3</v>
      </c>
      <c r="L212" s="0" t="n">
        <v>2</v>
      </c>
      <c r="M212" s="0" t="n">
        <v>1</v>
      </c>
      <c r="N212" s="0" t="n">
        <v>1</v>
      </c>
      <c r="O212" s="0" t="n">
        <f aca="false">SUM(K212:N212)</f>
        <v>7</v>
      </c>
      <c r="P212" s="0" t="str">
        <f aca="false">IF(O212&gt;=15,"Yes","No")</f>
        <v>No</v>
      </c>
      <c r="Q212" s="0" t="s">
        <v>159</v>
      </c>
      <c r="R212" s="2" t="n">
        <v>857000</v>
      </c>
      <c r="S212" s="3" t="n">
        <v>0.05</v>
      </c>
      <c r="T212" s="2" t="n">
        <f aca="false">R212*S212</f>
        <v>42850</v>
      </c>
      <c r="U212" s="4" t="s">
        <v>133</v>
      </c>
    </row>
    <row r="213" customFormat="false" ht="15" hidden="false" customHeight="false" outlineLevel="0" collapsed="false">
      <c r="A213" s="0" t="s">
        <v>917</v>
      </c>
      <c r="B213" s="0" t="s">
        <v>98</v>
      </c>
      <c r="C213" s="0" t="s">
        <v>26</v>
      </c>
      <c r="D213" s="0" t="s">
        <v>27</v>
      </c>
      <c r="E213" s="0" t="s">
        <v>178</v>
      </c>
      <c r="F213" s="0" t="s">
        <v>179</v>
      </c>
      <c r="G213" s="0" t="s">
        <v>918</v>
      </c>
      <c r="H213" s="0" t="s">
        <v>86</v>
      </c>
      <c r="I213" s="0" t="s">
        <v>919</v>
      </c>
      <c r="J213" s="0" t="s">
        <v>59</v>
      </c>
      <c r="K213" s="0" t="n">
        <v>1</v>
      </c>
      <c r="L213" s="0" t="n">
        <v>2</v>
      </c>
      <c r="M213" s="0" t="n">
        <v>3</v>
      </c>
      <c r="N213" s="0" t="n">
        <v>2</v>
      </c>
      <c r="O213" s="0" t="n">
        <f aca="false">SUM(K213:N213)</f>
        <v>8</v>
      </c>
      <c r="P213" s="0" t="str">
        <f aca="false">IF(O213&gt;=15,"Yes","No")</f>
        <v>No</v>
      </c>
      <c r="Q213" s="0" t="s">
        <v>46</v>
      </c>
      <c r="R213" s="2" t="n">
        <v>142000</v>
      </c>
      <c r="S213" s="3" t="n">
        <v>0</v>
      </c>
      <c r="T213" s="2" t="n">
        <f aca="false">R213*S213</f>
        <v>0</v>
      </c>
      <c r="U213" s="4" t="s">
        <v>920</v>
      </c>
      <c r="V213" s="4" t="s">
        <v>921</v>
      </c>
      <c r="W213" s="0" t="n">
        <v>19</v>
      </c>
      <c r="X213" s="4" t="s">
        <v>326</v>
      </c>
    </row>
    <row r="214" customFormat="false" ht="15" hidden="false" customHeight="false" outlineLevel="0" collapsed="false">
      <c r="A214" s="0" t="s">
        <v>922</v>
      </c>
      <c r="B214" s="0" t="s">
        <v>742</v>
      </c>
      <c r="C214" s="0" t="s">
        <v>264</v>
      </c>
      <c r="D214" s="0" t="s">
        <v>53</v>
      </c>
      <c r="E214" s="0" t="s">
        <v>99</v>
      </c>
      <c r="F214" s="0" t="s">
        <v>75</v>
      </c>
      <c r="G214" s="0" t="s">
        <v>923</v>
      </c>
      <c r="H214" s="0" t="s">
        <v>67</v>
      </c>
      <c r="I214" s="0" t="s">
        <v>170</v>
      </c>
      <c r="J214" s="0" t="s">
        <v>59</v>
      </c>
      <c r="K214" s="0" t="n">
        <v>4</v>
      </c>
      <c r="L214" s="0" t="n">
        <v>4</v>
      </c>
      <c r="M214" s="0" t="n">
        <v>5</v>
      </c>
      <c r="N214" s="0" t="n">
        <v>5</v>
      </c>
      <c r="O214" s="0" t="n">
        <f aca="false">SUM(K214:N214)</f>
        <v>18</v>
      </c>
      <c r="P214" s="0" t="str">
        <f aca="false">IF(O214&gt;=15,"Yes","No")</f>
        <v>Yes</v>
      </c>
      <c r="Q214" s="0" t="s">
        <v>34</v>
      </c>
      <c r="R214" s="2" t="n">
        <v>555000</v>
      </c>
      <c r="S214" s="3" t="n">
        <v>1</v>
      </c>
      <c r="T214" s="2" t="n">
        <f aca="false">R214*S214</f>
        <v>555000</v>
      </c>
      <c r="U214" s="4" t="s">
        <v>288</v>
      </c>
      <c r="V214" s="4" t="s">
        <v>924</v>
      </c>
      <c r="W214" s="0" t="n">
        <v>38</v>
      </c>
    </row>
    <row r="215" customFormat="false" ht="15" hidden="false" customHeight="false" outlineLevel="0" collapsed="false">
      <c r="A215" s="0" t="s">
        <v>925</v>
      </c>
      <c r="B215" s="0" t="s">
        <v>220</v>
      </c>
      <c r="C215" s="0" t="s">
        <v>152</v>
      </c>
      <c r="D215" s="0" t="s">
        <v>53</v>
      </c>
      <c r="E215" s="0" t="s">
        <v>136</v>
      </c>
      <c r="F215" s="0" t="s">
        <v>130</v>
      </c>
      <c r="G215" s="0" t="s">
        <v>221</v>
      </c>
      <c r="H215" s="0" t="s">
        <v>248</v>
      </c>
      <c r="I215" s="0" t="s">
        <v>308</v>
      </c>
      <c r="J215" s="0" t="s">
        <v>59</v>
      </c>
      <c r="K215" s="0" t="n">
        <v>3</v>
      </c>
      <c r="L215" s="0" t="n">
        <v>4</v>
      </c>
      <c r="M215" s="0" t="n">
        <v>1</v>
      </c>
      <c r="N215" s="0" t="n">
        <v>3</v>
      </c>
      <c r="O215" s="0" t="n">
        <f aca="false">SUM(K215:N215)</f>
        <v>11</v>
      </c>
      <c r="P215" s="0" t="str">
        <f aca="false">IF(O215&gt;=15,"Yes","No")</f>
        <v>No</v>
      </c>
      <c r="Q215" s="0" t="s">
        <v>46</v>
      </c>
      <c r="R215" s="2" t="n">
        <v>753000</v>
      </c>
      <c r="S215" s="3" t="n">
        <v>0</v>
      </c>
      <c r="T215" s="2" t="n">
        <f aca="false">R215*S215</f>
        <v>0</v>
      </c>
      <c r="U215" s="4" t="s">
        <v>926</v>
      </c>
      <c r="V215" s="4" t="s">
        <v>927</v>
      </c>
      <c r="W215" s="0" t="n">
        <v>39</v>
      </c>
      <c r="X215" s="4" t="s">
        <v>49</v>
      </c>
    </row>
    <row r="216" customFormat="false" ht="15" hidden="false" customHeight="false" outlineLevel="0" collapsed="false">
      <c r="A216" s="0" t="s">
        <v>928</v>
      </c>
      <c r="B216" s="0" t="s">
        <v>929</v>
      </c>
      <c r="C216" s="0" t="s">
        <v>74</v>
      </c>
      <c r="D216" s="0" t="s">
        <v>27</v>
      </c>
      <c r="E216" s="0" t="s">
        <v>92</v>
      </c>
      <c r="F216" s="0" t="s">
        <v>153</v>
      </c>
      <c r="G216" s="0" t="s">
        <v>231</v>
      </c>
      <c r="H216" s="0" t="s">
        <v>57</v>
      </c>
      <c r="I216" s="0" t="s">
        <v>930</v>
      </c>
      <c r="J216" s="0" t="s">
        <v>78</v>
      </c>
      <c r="K216" s="0" t="n">
        <v>3</v>
      </c>
      <c r="L216" s="0" t="n">
        <v>1</v>
      </c>
      <c r="M216" s="0" t="n">
        <v>2</v>
      </c>
      <c r="N216" s="0" t="n">
        <v>1</v>
      </c>
      <c r="O216" s="0" t="n">
        <f aca="false">SUM(K216:N216)</f>
        <v>7</v>
      </c>
      <c r="P216" s="0" t="str">
        <f aca="false">IF(O216&gt;=15,"Yes","No")</f>
        <v>No</v>
      </c>
      <c r="Q216" s="0" t="s">
        <v>46</v>
      </c>
      <c r="R216" s="2" t="n">
        <v>237000</v>
      </c>
      <c r="S216" s="3" t="n">
        <v>0</v>
      </c>
      <c r="T216" s="2" t="n">
        <f aca="false">R216*S216</f>
        <v>0</v>
      </c>
      <c r="U216" s="4" t="s">
        <v>133</v>
      </c>
      <c r="V216" s="4" t="s">
        <v>132</v>
      </c>
      <c r="W216" s="0" t="n">
        <v>15</v>
      </c>
      <c r="X216" s="4" t="s">
        <v>326</v>
      </c>
    </row>
    <row r="217" customFormat="false" ht="15" hidden="false" customHeight="false" outlineLevel="0" collapsed="false">
      <c r="A217" s="0" t="s">
        <v>931</v>
      </c>
      <c r="B217" s="0" t="s">
        <v>63</v>
      </c>
      <c r="C217" s="0" t="s">
        <v>152</v>
      </c>
      <c r="D217" s="0" t="s">
        <v>53</v>
      </c>
      <c r="E217" s="0" t="s">
        <v>92</v>
      </c>
      <c r="F217" s="0" t="s">
        <v>153</v>
      </c>
      <c r="G217" s="0" t="s">
        <v>231</v>
      </c>
      <c r="H217" s="0" t="s">
        <v>43</v>
      </c>
      <c r="I217" s="0" t="s">
        <v>460</v>
      </c>
      <c r="J217" s="0" t="s">
        <v>33</v>
      </c>
      <c r="K217" s="0" t="n">
        <v>4</v>
      </c>
      <c r="L217" s="0" t="n">
        <v>4</v>
      </c>
      <c r="M217" s="0" t="n">
        <v>4</v>
      </c>
      <c r="N217" s="0" t="n">
        <v>4</v>
      </c>
      <c r="O217" s="0" t="n">
        <f aca="false">SUM(K217:N217)</f>
        <v>16</v>
      </c>
      <c r="P217" s="0" t="str">
        <f aca="false">IF(O217&gt;=15,"Yes","No")</f>
        <v>Yes</v>
      </c>
      <c r="Q217" s="0" t="s">
        <v>60</v>
      </c>
      <c r="R217" s="2" t="n">
        <v>613000</v>
      </c>
      <c r="S217" s="3" t="n">
        <v>0.15</v>
      </c>
      <c r="T217" s="2" t="n">
        <f aca="false">R217*S217</f>
        <v>91950</v>
      </c>
      <c r="U217" s="4" t="s">
        <v>406</v>
      </c>
    </row>
    <row r="218" customFormat="false" ht="15" hidden="false" customHeight="false" outlineLevel="0" collapsed="false">
      <c r="A218" s="0" t="s">
        <v>932</v>
      </c>
      <c r="B218" s="0" t="s">
        <v>933</v>
      </c>
      <c r="C218" s="0" t="s">
        <v>26</v>
      </c>
      <c r="D218" s="0" t="s">
        <v>27</v>
      </c>
      <c r="E218" s="0" t="s">
        <v>84</v>
      </c>
      <c r="F218" s="0" t="s">
        <v>55</v>
      </c>
      <c r="G218" s="0" t="s">
        <v>934</v>
      </c>
      <c r="H218" s="0" t="s">
        <v>67</v>
      </c>
      <c r="I218" s="0" t="s">
        <v>905</v>
      </c>
      <c r="J218" s="0" t="s">
        <v>33</v>
      </c>
      <c r="K218" s="0" t="n">
        <v>3</v>
      </c>
      <c r="L218" s="0" t="n">
        <v>2</v>
      </c>
      <c r="M218" s="0" t="n">
        <v>2</v>
      </c>
      <c r="N218" s="0" t="n">
        <v>2</v>
      </c>
      <c r="O218" s="0" t="n">
        <f aca="false">SUM(K218:N218)</f>
        <v>9</v>
      </c>
      <c r="P218" s="0" t="str">
        <f aca="false">IF(O218&gt;=15,"Yes","No")</f>
        <v>No</v>
      </c>
      <c r="Q218" s="0" t="s">
        <v>159</v>
      </c>
      <c r="R218" s="2" t="n">
        <v>207000</v>
      </c>
      <c r="S218" s="3" t="n">
        <v>0.05</v>
      </c>
      <c r="T218" s="2" t="n">
        <f aca="false">R218*S218</f>
        <v>10350</v>
      </c>
      <c r="U218" s="4" t="s">
        <v>795</v>
      </c>
    </row>
    <row r="219" customFormat="false" ht="15" hidden="false" customHeight="false" outlineLevel="0" collapsed="false">
      <c r="A219" s="0" t="s">
        <v>935</v>
      </c>
      <c r="B219" s="0" t="s">
        <v>502</v>
      </c>
      <c r="C219" s="0" t="s">
        <v>74</v>
      </c>
      <c r="D219" s="0" t="s">
        <v>53</v>
      </c>
      <c r="E219" s="0" t="s">
        <v>142</v>
      </c>
      <c r="F219" s="0" t="s">
        <v>179</v>
      </c>
      <c r="G219" s="0" t="s">
        <v>936</v>
      </c>
      <c r="H219" s="0" t="s">
        <v>57</v>
      </c>
      <c r="I219" s="0" t="s">
        <v>509</v>
      </c>
      <c r="J219" s="0" t="s">
        <v>33</v>
      </c>
      <c r="K219" s="0" t="n">
        <v>2</v>
      </c>
      <c r="L219" s="0" t="n">
        <v>1</v>
      </c>
      <c r="M219" s="0" t="n">
        <v>1</v>
      </c>
      <c r="N219" s="0" t="n">
        <v>1</v>
      </c>
      <c r="O219" s="0" t="n">
        <f aca="false">SUM(K219:N219)</f>
        <v>5</v>
      </c>
      <c r="P219" s="0" t="str">
        <f aca="false">IF(O219&gt;=15,"Yes","No")</f>
        <v>No</v>
      </c>
      <c r="Q219" s="0" t="s">
        <v>60</v>
      </c>
      <c r="R219" s="2" t="n">
        <v>772000</v>
      </c>
      <c r="S219" s="3" t="n">
        <v>0.15</v>
      </c>
      <c r="T219" s="2" t="n">
        <f aca="false">R219*S219</f>
        <v>115800</v>
      </c>
      <c r="U219" s="4" t="s">
        <v>937</v>
      </c>
    </row>
    <row r="220" customFormat="false" ht="15" hidden="false" customHeight="false" outlineLevel="0" collapsed="false">
      <c r="A220" s="0" t="s">
        <v>938</v>
      </c>
      <c r="B220" s="0" t="s">
        <v>274</v>
      </c>
      <c r="C220" s="0" t="s">
        <v>26</v>
      </c>
      <c r="D220" s="0" t="s">
        <v>64</v>
      </c>
      <c r="E220" s="0" t="s">
        <v>28</v>
      </c>
      <c r="F220" s="0" t="s">
        <v>153</v>
      </c>
      <c r="G220" s="0" t="s">
        <v>939</v>
      </c>
      <c r="H220" s="0" t="s">
        <v>86</v>
      </c>
      <c r="I220" s="0" t="s">
        <v>121</v>
      </c>
      <c r="J220" s="0" t="s">
        <v>78</v>
      </c>
      <c r="K220" s="0" t="n">
        <v>2</v>
      </c>
      <c r="L220" s="0" t="n">
        <v>1</v>
      </c>
      <c r="M220" s="0" t="n">
        <v>1</v>
      </c>
      <c r="N220" s="0" t="n">
        <v>1</v>
      </c>
      <c r="O220" s="0" t="n">
        <f aca="false">SUM(K220:N220)</f>
        <v>5</v>
      </c>
      <c r="P220" s="0" t="str">
        <f aca="false">IF(O220&gt;=15,"Yes","No")</f>
        <v>No</v>
      </c>
      <c r="Q220" s="0" t="s">
        <v>60</v>
      </c>
      <c r="R220" s="2" t="n">
        <v>2954000</v>
      </c>
      <c r="S220" s="3" t="n">
        <v>0.15</v>
      </c>
      <c r="T220" s="2" t="n">
        <f aca="false">R220*S220</f>
        <v>443100</v>
      </c>
      <c r="U220" s="4" t="s">
        <v>714</v>
      </c>
    </row>
    <row r="221" customFormat="false" ht="15" hidden="false" customHeight="false" outlineLevel="0" collapsed="false">
      <c r="A221" s="0" t="s">
        <v>940</v>
      </c>
      <c r="B221" s="0" t="s">
        <v>941</v>
      </c>
      <c r="C221" s="0" t="s">
        <v>26</v>
      </c>
      <c r="D221" s="0" t="s">
        <v>53</v>
      </c>
      <c r="E221" s="0" t="s">
        <v>178</v>
      </c>
      <c r="F221" s="0" t="s">
        <v>75</v>
      </c>
      <c r="G221" s="0" t="s">
        <v>606</v>
      </c>
      <c r="H221" s="0" t="s">
        <v>31</v>
      </c>
      <c r="I221" s="0" t="s">
        <v>942</v>
      </c>
      <c r="J221" s="0" t="s">
        <v>33</v>
      </c>
      <c r="K221" s="0" t="n">
        <v>2</v>
      </c>
      <c r="L221" s="0" t="n">
        <v>2</v>
      </c>
      <c r="M221" s="0" t="n">
        <v>4</v>
      </c>
      <c r="N221" s="0" t="n">
        <v>4</v>
      </c>
      <c r="O221" s="0" t="n">
        <f aca="false">SUM(K221:N221)</f>
        <v>12</v>
      </c>
      <c r="P221" s="0" t="str">
        <f aca="false">IF(O221&gt;=15,"Yes","No")</f>
        <v>No</v>
      </c>
      <c r="Q221" s="0" t="s">
        <v>60</v>
      </c>
      <c r="R221" s="2" t="n">
        <v>584000</v>
      </c>
      <c r="S221" s="3" t="n">
        <v>0.15</v>
      </c>
      <c r="T221" s="2" t="n">
        <f aca="false">R221*S221</f>
        <v>87600</v>
      </c>
      <c r="U221" s="4" t="s">
        <v>943</v>
      </c>
    </row>
    <row r="222" customFormat="false" ht="15" hidden="false" customHeight="false" outlineLevel="0" collapsed="false">
      <c r="A222" s="0" t="s">
        <v>944</v>
      </c>
      <c r="B222" s="0" t="s">
        <v>945</v>
      </c>
      <c r="C222" s="0" t="s">
        <v>152</v>
      </c>
      <c r="D222" s="0" t="s">
        <v>27</v>
      </c>
      <c r="E222" s="0" t="s">
        <v>195</v>
      </c>
      <c r="F222" s="0" t="s">
        <v>41</v>
      </c>
      <c r="G222" s="0" t="s">
        <v>946</v>
      </c>
      <c r="H222" s="0" t="s">
        <v>86</v>
      </c>
      <c r="I222" s="0" t="s">
        <v>614</v>
      </c>
      <c r="J222" s="0" t="s">
        <v>69</v>
      </c>
      <c r="K222" s="0" t="n">
        <v>3</v>
      </c>
      <c r="L222" s="0" t="n">
        <v>1</v>
      </c>
      <c r="M222" s="0" t="n">
        <v>3</v>
      </c>
      <c r="N222" s="0" t="n">
        <v>1</v>
      </c>
      <c r="O222" s="0" t="n">
        <f aca="false">SUM(K222:N222)</f>
        <v>8</v>
      </c>
      <c r="P222" s="0" t="str">
        <f aca="false">IF(O222&gt;=15,"Yes","No")</f>
        <v>No</v>
      </c>
      <c r="Q222" s="0" t="s">
        <v>159</v>
      </c>
      <c r="R222" s="2" t="n">
        <v>185000</v>
      </c>
      <c r="S222" s="3" t="n">
        <v>0.05</v>
      </c>
      <c r="T222" s="2" t="n">
        <f aca="false">R222*S222</f>
        <v>9250</v>
      </c>
      <c r="U222" s="4" t="s">
        <v>233</v>
      </c>
    </row>
    <row r="223" customFormat="false" ht="15" hidden="false" customHeight="false" outlineLevel="0" collapsed="false">
      <c r="A223" s="0" t="s">
        <v>947</v>
      </c>
      <c r="B223" s="0" t="s">
        <v>892</v>
      </c>
      <c r="C223" s="0" t="s">
        <v>26</v>
      </c>
      <c r="D223" s="0" t="s">
        <v>64</v>
      </c>
      <c r="E223" s="0" t="s">
        <v>195</v>
      </c>
      <c r="F223" s="0" t="s">
        <v>153</v>
      </c>
      <c r="G223" s="0" t="s">
        <v>948</v>
      </c>
      <c r="H223" s="0" t="s">
        <v>67</v>
      </c>
      <c r="I223" s="0" t="s">
        <v>493</v>
      </c>
      <c r="J223" s="0" t="s">
        <v>78</v>
      </c>
      <c r="K223" s="0" t="n">
        <v>3</v>
      </c>
      <c r="L223" s="0" t="n">
        <v>5</v>
      </c>
      <c r="M223" s="0" t="n">
        <v>3</v>
      </c>
      <c r="N223" s="0" t="n">
        <v>2</v>
      </c>
      <c r="O223" s="0" t="n">
        <f aca="false">SUM(K223:N223)</f>
        <v>13</v>
      </c>
      <c r="P223" s="0" t="str">
        <f aca="false">IF(O223&gt;=15,"Yes","No")</f>
        <v>No</v>
      </c>
      <c r="Q223" s="0" t="s">
        <v>60</v>
      </c>
      <c r="R223" s="2" t="n">
        <v>2874000</v>
      </c>
      <c r="S223" s="3" t="n">
        <v>0.15</v>
      </c>
      <c r="T223" s="2" t="n">
        <f aca="false">R223*S223</f>
        <v>431100</v>
      </c>
      <c r="U223" s="4" t="s">
        <v>949</v>
      </c>
    </row>
    <row r="224" customFormat="false" ht="15" hidden="false" customHeight="false" outlineLevel="0" collapsed="false">
      <c r="A224" s="0" t="s">
        <v>950</v>
      </c>
      <c r="B224" s="0" t="s">
        <v>513</v>
      </c>
      <c r="C224" s="0" t="s">
        <v>26</v>
      </c>
      <c r="D224" s="0" t="s">
        <v>53</v>
      </c>
      <c r="E224" s="0" t="s">
        <v>105</v>
      </c>
      <c r="F224" s="0" t="s">
        <v>75</v>
      </c>
      <c r="G224" s="0" t="s">
        <v>434</v>
      </c>
      <c r="H224" s="0" t="s">
        <v>31</v>
      </c>
      <c r="I224" s="0" t="s">
        <v>796</v>
      </c>
      <c r="J224" s="0" t="s">
        <v>59</v>
      </c>
      <c r="K224" s="0" t="n">
        <v>1</v>
      </c>
      <c r="L224" s="0" t="n">
        <v>4</v>
      </c>
      <c r="M224" s="0" t="n">
        <v>2</v>
      </c>
      <c r="N224" s="0" t="n">
        <v>2</v>
      </c>
      <c r="O224" s="0" t="n">
        <f aca="false">SUM(K224:N224)</f>
        <v>9</v>
      </c>
      <c r="P224" s="0" t="str">
        <f aca="false">IF(O224&gt;=15,"Yes","No")</f>
        <v>No</v>
      </c>
      <c r="Q224" s="0" t="s">
        <v>46</v>
      </c>
      <c r="R224" s="2" t="n">
        <v>644000</v>
      </c>
      <c r="S224" s="3" t="n">
        <v>0</v>
      </c>
      <c r="T224" s="2" t="n">
        <f aca="false">R224*S224</f>
        <v>0</v>
      </c>
      <c r="U224" s="4" t="s">
        <v>192</v>
      </c>
      <c r="V224" s="4" t="s">
        <v>694</v>
      </c>
      <c r="W224" s="0" t="n">
        <v>37</v>
      </c>
      <c r="X224" s="4" t="s">
        <v>49</v>
      </c>
    </row>
    <row r="225" customFormat="false" ht="15" hidden="false" customHeight="false" outlineLevel="0" collapsed="false">
      <c r="A225" s="0" t="s">
        <v>951</v>
      </c>
      <c r="B225" s="0" t="s">
        <v>282</v>
      </c>
      <c r="C225" s="0" t="s">
        <v>39</v>
      </c>
      <c r="D225" s="0" t="s">
        <v>27</v>
      </c>
      <c r="E225" s="0" t="s">
        <v>40</v>
      </c>
      <c r="F225" s="0" t="s">
        <v>55</v>
      </c>
      <c r="G225" s="0" t="s">
        <v>952</v>
      </c>
      <c r="H225" s="0" t="s">
        <v>67</v>
      </c>
      <c r="I225" s="0" t="s">
        <v>953</v>
      </c>
      <c r="J225" s="0" t="s">
        <v>45</v>
      </c>
      <c r="K225" s="0" t="n">
        <v>1</v>
      </c>
      <c r="L225" s="0" t="n">
        <v>2</v>
      </c>
      <c r="M225" s="0" t="n">
        <v>3</v>
      </c>
      <c r="N225" s="0" t="n">
        <v>1</v>
      </c>
      <c r="O225" s="0" t="n">
        <f aca="false">SUM(K225:N225)</f>
        <v>7</v>
      </c>
      <c r="P225" s="0" t="str">
        <f aca="false">IF(O225&gt;=15,"Yes","No")</f>
        <v>No</v>
      </c>
      <c r="Q225" s="0" t="s">
        <v>60</v>
      </c>
      <c r="R225" s="2" t="n">
        <v>140000</v>
      </c>
      <c r="S225" s="3" t="n">
        <v>0.15</v>
      </c>
      <c r="T225" s="2" t="n">
        <f aca="false">R225*S225</f>
        <v>21000</v>
      </c>
      <c r="U225" s="4" t="s">
        <v>558</v>
      </c>
    </row>
    <row r="226" customFormat="false" ht="15" hidden="false" customHeight="false" outlineLevel="0" collapsed="false">
      <c r="A226" s="0" t="s">
        <v>954</v>
      </c>
      <c r="B226" s="0" t="s">
        <v>571</v>
      </c>
      <c r="C226" s="0" t="s">
        <v>26</v>
      </c>
      <c r="D226" s="0" t="s">
        <v>64</v>
      </c>
      <c r="E226" s="0" t="s">
        <v>322</v>
      </c>
      <c r="F226" s="0" t="s">
        <v>75</v>
      </c>
      <c r="G226" s="0" t="s">
        <v>847</v>
      </c>
      <c r="H226" s="0" t="s">
        <v>57</v>
      </c>
      <c r="I226" s="0" t="s">
        <v>499</v>
      </c>
      <c r="J226" s="0" t="s">
        <v>45</v>
      </c>
      <c r="K226" s="0" t="n">
        <v>2</v>
      </c>
      <c r="L226" s="0" t="n">
        <v>1</v>
      </c>
      <c r="M226" s="0" t="n">
        <v>2</v>
      </c>
      <c r="N226" s="0" t="n">
        <v>3</v>
      </c>
      <c r="O226" s="0" t="n">
        <f aca="false">SUM(K226:N226)</f>
        <v>8</v>
      </c>
      <c r="P226" s="0" t="str">
        <f aca="false">IF(O226&gt;=15,"Yes","No")</f>
        <v>No</v>
      </c>
      <c r="Q226" s="0" t="s">
        <v>159</v>
      </c>
      <c r="R226" s="2" t="n">
        <v>2445000</v>
      </c>
      <c r="S226" s="3" t="n">
        <v>0.05</v>
      </c>
      <c r="T226" s="2" t="n">
        <f aca="false">R226*S226</f>
        <v>122250</v>
      </c>
      <c r="U226" s="4" t="s">
        <v>955</v>
      </c>
    </row>
    <row r="227" customFormat="false" ht="15" hidden="false" customHeight="false" outlineLevel="0" collapsed="false">
      <c r="A227" s="0" t="s">
        <v>956</v>
      </c>
      <c r="B227" s="0" t="s">
        <v>525</v>
      </c>
      <c r="C227" s="0" t="s">
        <v>39</v>
      </c>
      <c r="D227" s="0" t="s">
        <v>27</v>
      </c>
      <c r="E227" s="0" t="s">
        <v>40</v>
      </c>
      <c r="F227" s="0" t="s">
        <v>29</v>
      </c>
      <c r="G227" s="0" t="s">
        <v>656</v>
      </c>
      <c r="H227" s="0" t="s">
        <v>43</v>
      </c>
      <c r="I227" s="0" t="s">
        <v>957</v>
      </c>
      <c r="J227" s="0" t="s">
        <v>59</v>
      </c>
      <c r="K227" s="0" t="n">
        <v>4</v>
      </c>
      <c r="L227" s="0" t="n">
        <v>4</v>
      </c>
      <c r="M227" s="0" t="n">
        <v>5</v>
      </c>
      <c r="N227" s="0" t="n">
        <v>5</v>
      </c>
      <c r="O227" s="0" t="n">
        <f aca="false">SUM(K227:N227)</f>
        <v>18</v>
      </c>
      <c r="P227" s="0" t="str">
        <f aca="false">IF(O227&gt;=15,"Yes","No")</f>
        <v>Yes</v>
      </c>
      <c r="Q227" s="0" t="s">
        <v>46</v>
      </c>
      <c r="R227" s="2" t="n">
        <v>205000</v>
      </c>
      <c r="S227" s="3" t="n">
        <v>0</v>
      </c>
      <c r="T227" s="2" t="n">
        <f aca="false">R227*S227</f>
        <v>0</v>
      </c>
      <c r="U227" s="4" t="s">
        <v>511</v>
      </c>
      <c r="V227" s="4" t="s">
        <v>689</v>
      </c>
      <c r="W227" s="0" t="n">
        <v>42</v>
      </c>
      <c r="X227" s="4" t="s">
        <v>443</v>
      </c>
    </row>
    <row r="228" customFormat="false" ht="15" hidden="false" customHeight="false" outlineLevel="0" collapsed="false">
      <c r="A228" s="0" t="s">
        <v>958</v>
      </c>
      <c r="B228" s="0" t="s">
        <v>959</v>
      </c>
      <c r="C228" s="0" t="s">
        <v>39</v>
      </c>
      <c r="D228" s="0" t="s">
        <v>53</v>
      </c>
      <c r="E228" s="0" t="s">
        <v>322</v>
      </c>
      <c r="F228" s="0" t="s">
        <v>41</v>
      </c>
      <c r="G228" s="0" t="s">
        <v>620</v>
      </c>
      <c r="H228" s="0" t="s">
        <v>43</v>
      </c>
      <c r="I228" s="0" t="s">
        <v>690</v>
      </c>
      <c r="J228" s="0" t="s">
        <v>78</v>
      </c>
      <c r="K228" s="0" t="n">
        <v>4</v>
      </c>
      <c r="L228" s="0" t="n">
        <v>4</v>
      </c>
      <c r="M228" s="0" t="n">
        <v>5</v>
      </c>
      <c r="N228" s="0" t="n">
        <v>5</v>
      </c>
      <c r="O228" s="0" t="n">
        <f aca="false">SUM(K228:N228)</f>
        <v>18</v>
      </c>
      <c r="P228" s="0" t="str">
        <f aca="false">IF(O228&gt;=15,"Yes","No")</f>
        <v>Yes</v>
      </c>
      <c r="Q228" s="0" t="s">
        <v>60</v>
      </c>
      <c r="R228" s="2" t="n">
        <v>503000</v>
      </c>
      <c r="S228" s="3" t="n">
        <v>0.15</v>
      </c>
      <c r="T228" s="2" t="n">
        <f aca="false">R228*S228</f>
        <v>75450</v>
      </c>
      <c r="U228" s="4" t="s">
        <v>960</v>
      </c>
    </row>
    <row r="229" customFormat="false" ht="15" hidden="false" customHeight="false" outlineLevel="0" collapsed="false">
      <c r="A229" s="0" t="s">
        <v>961</v>
      </c>
      <c r="B229" s="0" t="s">
        <v>118</v>
      </c>
      <c r="C229" s="0" t="s">
        <v>26</v>
      </c>
      <c r="D229" s="0" t="s">
        <v>27</v>
      </c>
      <c r="E229" s="0" t="s">
        <v>54</v>
      </c>
      <c r="F229" s="0" t="s">
        <v>130</v>
      </c>
      <c r="G229" s="0" t="s">
        <v>591</v>
      </c>
      <c r="H229" s="0" t="s">
        <v>86</v>
      </c>
      <c r="I229" s="0" t="s">
        <v>962</v>
      </c>
      <c r="J229" s="0" t="s">
        <v>33</v>
      </c>
      <c r="K229" s="0" t="n">
        <v>1</v>
      </c>
      <c r="L229" s="0" t="n">
        <v>3</v>
      </c>
      <c r="M229" s="0" t="n">
        <v>1</v>
      </c>
      <c r="N229" s="0" t="n">
        <v>2</v>
      </c>
      <c r="O229" s="0" t="n">
        <f aca="false">SUM(K229:N229)</f>
        <v>7</v>
      </c>
      <c r="P229" s="0" t="str">
        <f aca="false">IF(O229&gt;=15,"Yes","No")</f>
        <v>No</v>
      </c>
      <c r="Q229" s="0" t="s">
        <v>60</v>
      </c>
      <c r="R229" s="2" t="n">
        <v>235000</v>
      </c>
      <c r="S229" s="3" t="n">
        <v>0.15</v>
      </c>
      <c r="T229" s="2" t="n">
        <f aca="false">R229*S229</f>
        <v>35250</v>
      </c>
      <c r="U229" s="4" t="s">
        <v>963</v>
      </c>
    </row>
    <row r="230" customFormat="false" ht="15" hidden="false" customHeight="false" outlineLevel="0" collapsed="false">
      <c r="A230" s="0" t="s">
        <v>964</v>
      </c>
      <c r="B230" s="0" t="s">
        <v>965</v>
      </c>
      <c r="C230" s="0" t="s">
        <v>184</v>
      </c>
      <c r="D230" s="0" t="s">
        <v>64</v>
      </c>
      <c r="E230" s="0" t="s">
        <v>136</v>
      </c>
      <c r="F230" s="0" t="s">
        <v>29</v>
      </c>
      <c r="G230" s="0" t="s">
        <v>966</v>
      </c>
      <c r="H230" s="0" t="s">
        <v>31</v>
      </c>
      <c r="I230" s="0" t="s">
        <v>336</v>
      </c>
      <c r="J230" s="0" t="s">
        <v>45</v>
      </c>
      <c r="K230" s="0" t="n">
        <v>3</v>
      </c>
      <c r="L230" s="0" t="n">
        <v>1</v>
      </c>
      <c r="M230" s="0" t="n">
        <v>4</v>
      </c>
      <c r="N230" s="0" t="n">
        <v>4</v>
      </c>
      <c r="O230" s="0" t="n">
        <f aca="false">SUM(K230:N230)</f>
        <v>12</v>
      </c>
      <c r="P230" s="0" t="str">
        <f aca="false">IF(O230&gt;=15,"Yes","No")</f>
        <v>No</v>
      </c>
      <c r="Q230" s="0" t="s">
        <v>60</v>
      </c>
      <c r="R230" s="2" t="n">
        <v>1700000</v>
      </c>
      <c r="S230" s="3" t="n">
        <v>0.15</v>
      </c>
      <c r="T230" s="2" t="n">
        <f aca="false">R230*S230</f>
        <v>255000</v>
      </c>
      <c r="U230" s="4" t="s">
        <v>450</v>
      </c>
    </row>
    <row r="231" customFormat="false" ht="15" hidden="false" customHeight="false" outlineLevel="0" collapsed="false">
      <c r="A231" s="0" t="s">
        <v>967</v>
      </c>
      <c r="B231" s="0" t="s">
        <v>968</v>
      </c>
      <c r="C231" s="0" t="s">
        <v>39</v>
      </c>
      <c r="D231" s="0" t="s">
        <v>27</v>
      </c>
      <c r="E231" s="0" t="s">
        <v>215</v>
      </c>
      <c r="F231" s="0" t="s">
        <v>55</v>
      </c>
      <c r="G231" s="0" t="s">
        <v>759</v>
      </c>
      <c r="H231" s="0" t="s">
        <v>86</v>
      </c>
      <c r="I231" s="0" t="s">
        <v>969</v>
      </c>
      <c r="J231" s="0" t="s">
        <v>59</v>
      </c>
      <c r="K231" s="0" t="n">
        <v>1</v>
      </c>
      <c r="L231" s="0" t="n">
        <v>4</v>
      </c>
      <c r="M231" s="0" t="n">
        <v>2</v>
      </c>
      <c r="N231" s="0" t="n">
        <v>3</v>
      </c>
      <c r="O231" s="0" t="n">
        <f aca="false">SUM(K231:N231)</f>
        <v>10</v>
      </c>
      <c r="P231" s="0" t="str">
        <f aca="false">IF(O231&gt;=15,"Yes","No")</f>
        <v>No</v>
      </c>
      <c r="Q231" s="0" t="s">
        <v>60</v>
      </c>
      <c r="R231" s="2" t="n">
        <v>230000</v>
      </c>
      <c r="S231" s="3" t="n">
        <v>0.15</v>
      </c>
      <c r="T231" s="2" t="n">
        <f aca="false">R231*S231</f>
        <v>34500</v>
      </c>
      <c r="U231" s="4" t="s">
        <v>675</v>
      </c>
    </row>
    <row r="232" customFormat="false" ht="15" hidden="false" customHeight="false" outlineLevel="0" collapsed="false">
      <c r="A232" s="0" t="s">
        <v>970</v>
      </c>
      <c r="B232" s="0" t="s">
        <v>716</v>
      </c>
      <c r="C232" s="0" t="s">
        <v>152</v>
      </c>
      <c r="D232" s="0" t="s">
        <v>64</v>
      </c>
      <c r="E232" s="0" t="s">
        <v>105</v>
      </c>
      <c r="F232" s="0" t="s">
        <v>153</v>
      </c>
      <c r="G232" s="0" t="s">
        <v>533</v>
      </c>
      <c r="H232" s="0" t="s">
        <v>31</v>
      </c>
      <c r="I232" s="0" t="s">
        <v>296</v>
      </c>
      <c r="J232" s="0" t="s">
        <v>69</v>
      </c>
      <c r="K232" s="0" t="n">
        <v>4</v>
      </c>
      <c r="L232" s="0" t="n">
        <v>4</v>
      </c>
      <c r="M232" s="0" t="n">
        <v>4</v>
      </c>
      <c r="N232" s="0" t="n">
        <v>2</v>
      </c>
      <c r="O232" s="0" t="n">
        <f aca="false">SUM(K232:N232)</f>
        <v>14</v>
      </c>
      <c r="P232" s="0" t="str">
        <f aca="false">IF(O232&gt;=15,"Yes","No")</f>
        <v>No</v>
      </c>
      <c r="Q232" s="0" t="s">
        <v>70</v>
      </c>
      <c r="R232" s="2" t="n">
        <v>2756000</v>
      </c>
      <c r="S232" s="3" t="n">
        <v>0.55</v>
      </c>
      <c r="T232" s="2" t="n">
        <f aca="false">R232*S232</f>
        <v>1515800</v>
      </c>
      <c r="U232" s="4" t="s">
        <v>971</v>
      </c>
    </row>
    <row r="233" customFormat="false" ht="15" hidden="false" customHeight="false" outlineLevel="0" collapsed="false">
      <c r="A233" s="0" t="s">
        <v>972</v>
      </c>
      <c r="B233" s="0" t="s">
        <v>973</v>
      </c>
      <c r="C233" s="0" t="s">
        <v>26</v>
      </c>
      <c r="D233" s="0" t="s">
        <v>53</v>
      </c>
      <c r="E233" s="0" t="s">
        <v>99</v>
      </c>
      <c r="F233" s="0" t="s">
        <v>41</v>
      </c>
      <c r="G233" s="0" t="s">
        <v>916</v>
      </c>
      <c r="H233" s="0" t="s">
        <v>248</v>
      </c>
      <c r="I233" s="0" t="s">
        <v>733</v>
      </c>
      <c r="J233" s="0" t="s">
        <v>33</v>
      </c>
      <c r="K233" s="0" t="n">
        <v>3</v>
      </c>
      <c r="L233" s="0" t="n">
        <v>3</v>
      </c>
      <c r="M233" s="0" t="n">
        <v>2</v>
      </c>
      <c r="N233" s="0" t="n">
        <v>4</v>
      </c>
      <c r="O233" s="0" t="n">
        <f aca="false">SUM(K233:N233)</f>
        <v>12</v>
      </c>
      <c r="P233" s="0" t="str">
        <f aca="false">IF(O233&gt;=15,"Yes","No")</f>
        <v>No</v>
      </c>
      <c r="Q233" s="0" t="s">
        <v>159</v>
      </c>
      <c r="R233" s="2" t="n">
        <v>764000</v>
      </c>
      <c r="S233" s="3" t="n">
        <v>0.05</v>
      </c>
      <c r="T233" s="2" t="n">
        <f aca="false">R233*S233</f>
        <v>38200</v>
      </c>
      <c r="U233" s="4" t="s">
        <v>275</v>
      </c>
    </row>
    <row r="234" customFormat="false" ht="15" hidden="false" customHeight="false" outlineLevel="0" collapsed="false">
      <c r="A234" s="0" t="s">
        <v>974</v>
      </c>
      <c r="B234" s="0" t="s">
        <v>798</v>
      </c>
      <c r="C234" s="0" t="s">
        <v>39</v>
      </c>
      <c r="D234" s="0" t="s">
        <v>53</v>
      </c>
      <c r="E234" s="0" t="s">
        <v>65</v>
      </c>
      <c r="F234" s="0" t="s">
        <v>130</v>
      </c>
      <c r="G234" s="0" t="s">
        <v>889</v>
      </c>
      <c r="H234" s="0" t="s">
        <v>86</v>
      </c>
      <c r="I234" s="0" t="s">
        <v>267</v>
      </c>
      <c r="J234" s="0" t="s">
        <v>69</v>
      </c>
      <c r="K234" s="0" t="n">
        <v>1</v>
      </c>
      <c r="L234" s="0" t="n">
        <v>1</v>
      </c>
      <c r="M234" s="0" t="n">
        <v>1</v>
      </c>
      <c r="N234" s="0" t="n">
        <v>2</v>
      </c>
      <c r="O234" s="0" t="n">
        <f aca="false">SUM(K234:N234)</f>
        <v>5</v>
      </c>
      <c r="P234" s="0" t="str">
        <f aca="false">IF(O234&gt;=15,"Yes","No")</f>
        <v>No</v>
      </c>
      <c r="Q234" s="0" t="s">
        <v>60</v>
      </c>
      <c r="R234" s="2" t="n">
        <v>621000</v>
      </c>
      <c r="S234" s="3" t="n">
        <v>0.15</v>
      </c>
      <c r="T234" s="2" t="n">
        <f aca="false">R234*S234</f>
        <v>93150</v>
      </c>
      <c r="U234" s="4" t="s">
        <v>975</v>
      </c>
    </row>
    <row r="235" customFormat="false" ht="15" hidden="false" customHeight="false" outlineLevel="0" collapsed="false">
      <c r="A235" s="0" t="s">
        <v>976</v>
      </c>
      <c r="B235" s="0" t="s">
        <v>590</v>
      </c>
      <c r="C235" s="0" t="s">
        <v>264</v>
      </c>
      <c r="D235" s="0" t="s">
        <v>27</v>
      </c>
      <c r="E235" s="0" t="s">
        <v>28</v>
      </c>
      <c r="F235" s="0" t="s">
        <v>75</v>
      </c>
      <c r="G235" s="0" t="s">
        <v>977</v>
      </c>
      <c r="H235" s="0" t="s">
        <v>31</v>
      </c>
      <c r="I235" s="0" t="s">
        <v>890</v>
      </c>
      <c r="J235" s="0" t="s">
        <v>59</v>
      </c>
      <c r="K235" s="0" t="n">
        <v>4</v>
      </c>
      <c r="L235" s="0" t="n">
        <v>5</v>
      </c>
      <c r="M235" s="0" t="n">
        <v>4</v>
      </c>
      <c r="N235" s="0" t="n">
        <v>4</v>
      </c>
      <c r="O235" s="0" t="n">
        <f aca="false">SUM(K235:N235)</f>
        <v>17</v>
      </c>
      <c r="P235" s="0" t="str">
        <f aca="false">IF(O235&gt;=15,"Yes","No")</f>
        <v>Yes</v>
      </c>
      <c r="Q235" s="0" t="s">
        <v>46</v>
      </c>
      <c r="R235" s="2" t="n">
        <v>165000</v>
      </c>
      <c r="S235" s="3" t="n">
        <v>0</v>
      </c>
      <c r="T235" s="2" t="n">
        <f aca="false">R235*S235</f>
        <v>0</v>
      </c>
      <c r="U235" s="4" t="s">
        <v>978</v>
      </c>
      <c r="V235" s="4" t="s">
        <v>979</v>
      </c>
      <c r="W235" s="0" t="n">
        <v>21</v>
      </c>
      <c r="X235" s="4" t="s">
        <v>81</v>
      </c>
    </row>
    <row r="236" customFormat="false" ht="15" hidden="false" customHeight="false" outlineLevel="0" collapsed="false">
      <c r="A236" s="0" t="s">
        <v>980</v>
      </c>
      <c r="B236" s="0" t="s">
        <v>395</v>
      </c>
      <c r="C236" s="0" t="s">
        <v>39</v>
      </c>
      <c r="D236" s="0" t="s">
        <v>53</v>
      </c>
      <c r="E236" s="0" t="s">
        <v>84</v>
      </c>
      <c r="F236" s="0" t="s">
        <v>75</v>
      </c>
      <c r="G236" s="0" t="s">
        <v>981</v>
      </c>
      <c r="H236" s="0" t="s">
        <v>31</v>
      </c>
      <c r="I236" s="0" t="s">
        <v>406</v>
      </c>
      <c r="J236" s="0" t="s">
        <v>33</v>
      </c>
      <c r="K236" s="0" t="n">
        <v>3</v>
      </c>
      <c r="L236" s="0" t="n">
        <v>4</v>
      </c>
      <c r="M236" s="0" t="n">
        <v>2</v>
      </c>
      <c r="N236" s="0" t="n">
        <v>4</v>
      </c>
      <c r="O236" s="0" t="n">
        <f aca="false">SUM(K236:N236)</f>
        <v>13</v>
      </c>
      <c r="P236" s="0" t="str">
        <f aca="false">IF(O236&gt;=15,"Yes","No")</f>
        <v>No</v>
      </c>
      <c r="Q236" s="0" t="s">
        <v>46</v>
      </c>
      <c r="R236" s="2" t="n">
        <v>491000</v>
      </c>
      <c r="S236" s="3" t="n">
        <v>0</v>
      </c>
      <c r="T236" s="2" t="n">
        <f aca="false">R236*S236</f>
        <v>0</v>
      </c>
      <c r="U236" s="4" t="s">
        <v>718</v>
      </c>
      <c r="V236" s="4" t="s">
        <v>607</v>
      </c>
      <c r="W236" s="0" t="n">
        <v>34</v>
      </c>
      <c r="X236" s="4" t="s">
        <v>257</v>
      </c>
    </row>
    <row r="237" customFormat="false" ht="15" hidden="false" customHeight="false" outlineLevel="0" collapsed="false">
      <c r="A237" s="0" t="s">
        <v>982</v>
      </c>
      <c r="B237" s="0" t="s">
        <v>305</v>
      </c>
      <c r="C237" s="0" t="s">
        <v>264</v>
      </c>
      <c r="D237" s="0" t="s">
        <v>27</v>
      </c>
      <c r="E237" s="0" t="s">
        <v>142</v>
      </c>
      <c r="F237" s="0" t="s">
        <v>130</v>
      </c>
      <c r="G237" s="0" t="s">
        <v>474</v>
      </c>
      <c r="H237" s="0" t="s">
        <v>86</v>
      </c>
      <c r="I237" s="0" t="s">
        <v>155</v>
      </c>
      <c r="J237" s="0" t="s">
        <v>33</v>
      </c>
      <c r="K237" s="0" t="n">
        <v>1</v>
      </c>
      <c r="L237" s="0" t="n">
        <v>2</v>
      </c>
      <c r="M237" s="0" t="n">
        <v>3</v>
      </c>
      <c r="N237" s="0" t="n">
        <v>3</v>
      </c>
      <c r="O237" s="0" t="n">
        <f aca="false">SUM(K237:N237)</f>
        <v>9</v>
      </c>
      <c r="P237" s="0" t="str">
        <f aca="false">IF(O237&gt;=15,"Yes","No")</f>
        <v>No</v>
      </c>
      <c r="Q237" s="0" t="s">
        <v>60</v>
      </c>
      <c r="R237" s="2" t="n">
        <v>251000</v>
      </c>
      <c r="S237" s="3" t="n">
        <v>0.15</v>
      </c>
      <c r="T237" s="2" t="n">
        <f aca="false">R237*S237</f>
        <v>37650</v>
      </c>
      <c r="U237" s="4" t="s">
        <v>983</v>
      </c>
    </row>
    <row r="238" customFormat="false" ht="15" hidden="false" customHeight="false" outlineLevel="0" collapsed="false">
      <c r="A238" s="0" t="s">
        <v>984</v>
      </c>
      <c r="B238" s="0" t="s">
        <v>713</v>
      </c>
      <c r="C238" s="0" t="s">
        <v>26</v>
      </c>
      <c r="D238" s="0" t="s">
        <v>53</v>
      </c>
      <c r="E238" s="0" t="s">
        <v>105</v>
      </c>
      <c r="F238" s="0" t="s">
        <v>29</v>
      </c>
      <c r="G238" s="0" t="s">
        <v>637</v>
      </c>
      <c r="H238" s="0" t="s">
        <v>86</v>
      </c>
      <c r="I238" s="0" t="s">
        <v>985</v>
      </c>
      <c r="J238" s="0" t="s">
        <v>33</v>
      </c>
      <c r="K238" s="0" t="n">
        <v>1</v>
      </c>
      <c r="L238" s="0" t="n">
        <v>1</v>
      </c>
      <c r="M238" s="0" t="n">
        <v>3</v>
      </c>
      <c r="N238" s="0" t="n">
        <v>1</v>
      </c>
      <c r="O238" s="0" t="n">
        <f aca="false">SUM(K238:N238)</f>
        <v>6</v>
      </c>
      <c r="P238" s="0" t="str">
        <f aca="false">IF(O238&gt;=15,"Yes","No")</f>
        <v>No</v>
      </c>
      <c r="Q238" s="0" t="s">
        <v>115</v>
      </c>
      <c r="R238" s="2" t="n">
        <v>604000</v>
      </c>
      <c r="S238" s="3" t="n">
        <v>0.35</v>
      </c>
      <c r="T238" s="2" t="n">
        <f aca="false">R238*S238</f>
        <v>211400</v>
      </c>
      <c r="U238" s="4" t="s">
        <v>150</v>
      </c>
    </row>
    <row r="239" customFormat="false" ht="15" hidden="false" customHeight="false" outlineLevel="0" collapsed="false">
      <c r="A239" s="0" t="s">
        <v>986</v>
      </c>
      <c r="B239" s="0" t="s">
        <v>830</v>
      </c>
      <c r="C239" s="0" t="s">
        <v>264</v>
      </c>
      <c r="D239" s="0" t="s">
        <v>27</v>
      </c>
      <c r="E239" s="0" t="s">
        <v>142</v>
      </c>
      <c r="F239" s="0" t="s">
        <v>130</v>
      </c>
      <c r="G239" s="0" t="s">
        <v>459</v>
      </c>
      <c r="H239" s="0" t="s">
        <v>43</v>
      </c>
      <c r="I239" s="0" t="s">
        <v>987</v>
      </c>
      <c r="J239" s="0" t="s">
        <v>59</v>
      </c>
      <c r="K239" s="0" t="n">
        <v>5</v>
      </c>
      <c r="L239" s="0" t="n">
        <v>5</v>
      </c>
      <c r="M239" s="0" t="n">
        <v>3</v>
      </c>
      <c r="N239" s="0" t="n">
        <v>5</v>
      </c>
      <c r="O239" s="0" t="n">
        <f aca="false">SUM(K239:N239)</f>
        <v>18</v>
      </c>
      <c r="P239" s="0" t="str">
        <f aca="false">IF(O239&gt;=15,"Yes","No")</f>
        <v>Yes</v>
      </c>
      <c r="Q239" s="0" t="s">
        <v>60</v>
      </c>
      <c r="R239" s="2" t="n">
        <v>217000</v>
      </c>
      <c r="S239" s="3" t="n">
        <v>0.15</v>
      </c>
      <c r="T239" s="2" t="n">
        <f aca="false">R239*S239</f>
        <v>32550</v>
      </c>
      <c r="U239" s="4" t="s">
        <v>988</v>
      </c>
    </row>
    <row r="240" customFormat="false" ht="15" hidden="false" customHeight="false" outlineLevel="0" collapsed="false">
      <c r="A240" s="0" t="s">
        <v>989</v>
      </c>
      <c r="B240" s="0" t="s">
        <v>300</v>
      </c>
      <c r="C240" s="0" t="s">
        <v>74</v>
      </c>
      <c r="D240" s="0" t="s">
        <v>27</v>
      </c>
      <c r="E240" s="0" t="s">
        <v>65</v>
      </c>
      <c r="F240" s="0" t="s">
        <v>29</v>
      </c>
      <c r="G240" s="0" t="s">
        <v>990</v>
      </c>
      <c r="H240" s="0" t="s">
        <v>248</v>
      </c>
      <c r="I240" s="0" t="s">
        <v>228</v>
      </c>
      <c r="J240" s="0" t="s">
        <v>59</v>
      </c>
      <c r="K240" s="0" t="n">
        <v>3</v>
      </c>
      <c r="L240" s="0" t="n">
        <v>3</v>
      </c>
      <c r="M240" s="0" t="n">
        <v>3</v>
      </c>
      <c r="N240" s="0" t="n">
        <v>3</v>
      </c>
      <c r="O240" s="0" t="n">
        <f aca="false">SUM(K240:N240)</f>
        <v>12</v>
      </c>
      <c r="P240" s="0" t="str">
        <f aca="false">IF(O240&gt;=15,"Yes","No")</f>
        <v>No</v>
      </c>
      <c r="Q240" s="0" t="s">
        <v>60</v>
      </c>
      <c r="R240" s="2" t="n">
        <v>245000</v>
      </c>
      <c r="S240" s="3" t="n">
        <v>0.15</v>
      </c>
      <c r="T240" s="2" t="n">
        <f aca="false">R240*S240</f>
        <v>36750</v>
      </c>
      <c r="U240" s="4" t="s">
        <v>991</v>
      </c>
    </row>
    <row r="241" customFormat="false" ht="15" hidden="false" customHeight="false" outlineLevel="0" collapsed="false">
      <c r="A241" s="0" t="s">
        <v>992</v>
      </c>
      <c r="B241" s="0" t="s">
        <v>200</v>
      </c>
      <c r="C241" s="0" t="s">
        <v>264</v>
      </c>
      <c r="D241" s="0" t="s">
        <v>27</v>
      </c>
      <c r="E241" s="0" t="s">
        <v>65</v>
      </c>
      <c r="F241" s="0" t="s">
        <v>130</v>
      </c>
      <c r="G241" s="0" t="s">
        <v>993</v>
      </c>
      <c r="H241" s="0" t="s">
        <v>31</v>
      </c>
      <c r="I241" s="0" t="s">
        <v>484</v>
      </c>
      <c r="J241" s="0" t="s">
        <v>59</v>
      </c>
      <c r="K241" s="0" t="n">
        <v>4</v>
      </c>
      <c r="L241" s="0" t="n">
        <v>3</v>
      </c>
      <c r="M241" s="0" t="n">
        <v>3</v>
      </c>
      <c r="N241" s="0" t="n">
        <v>2</v>
      </c>
      <c r="O241" s="0" t="n">
        <f aca="false">SUM(K241:N241)</f>
        <v>12</v>
      </c>
      <c r="P241" s="0" t="str">
        <f aca="false">IF(O241&gt;=15,"Yes","No")</f>
        <v>No</v>
      </c>
      <c r="Q241" s="0" t="s">
        <v>60</v>
      </c>
      <c r="R241" s="2" t="n">
        <v>201000</v>
      </c>
      <c r="S241" s="3" t="n">
        <v>0.15</v>
      </c>
      <c r="T241" s="2" t="n">
        <f aca="false">R241*S241</f>
        <v>30150</v>
      </c>
      <c r="U241" s="4" t="s">
        <v>994</v>
      </c>
    </row>
    <row r="242" customFormat="false" ht="15" hidden="false" customHeight="false" outlineLevel="0" collapsed="false">
      <c r="A242" s="0" t="s">
        <v>995</v>
      </c>
      <c r="B242" s="0" t="s">
        <v>542</v>
      </c>
      <c r="C242" s="0" t="s">
        <v>152</v>
      </c>
      <c r="D242" s="0" t="s">
        <v>27</v>
      </c>
      <c r="E242" s="0" t="s">
        <v>322</v>
      </c>
      <c r="F242" s="0" t="s">
        <v>41</v>
      </c>
      <c r="G242" s="0" t="s">
        <v>498</v>
      </c>
      <c r="H242" s="0" t="s">
        <v>67</v>
      </c>
      <c r="I242" s="0" t="s">
        <v>996</v>
      </c>
      <c r="J242" s="0" t="s">
        <v>69</v>
      </c>
      <c r="K242" s="0" t="n">
        <v>1</v>
      </c>
      <c r="L242" s="0" t="n">
        <v>1</v>
      </c>
      <c r="M242" s="0" t="n">
        <v>2</v>
      </c>
      <c r="N242" s="0" t="n">
        <v>1</v>
      </c>
      <c r="O242" s="0" t="n">
        <f aca="false">SUM(K242:N242)</f>
        <v>5</v>
      </c>
      <c r="P242" s="0" t="str">
        <f aca="false">IF(O242&gt;=15,"Yes","No")</f>
        <v>No</v>
      </c>
      <c r="Q242" s="0" t="s">
        <v>60</v>
      </c>
      <c r="R242" s="2" t="n">
        <v>203000</v>
      </c>
      <c r="S242" s="3" t="n">
        <v>0.15</v>
      </c>
      <c r="T242" s="2" t="n">
        <f aca="false">R242*S242</f>
        <v>30450</v>
      </c>
      <c r="U242" s="4" t="s">
        <v>997</v>
      </c>
    </row>
    <row r="243" customFormat="false" ht="15" hidden="false" customHeight="false" outlineLevel="0" collapsed="false">
      <c r="A243" s="0" t="s">
        <v>998</v>
      </c>
      <c r="B243" s="0" t="s">
        <v>773</v>
      </c>
      <c r="C243" s="0" t="s">
        <v>184</v>
      </c>
      <c r="D243" s="0" t="s">
        <v>27</v>
      </c>
      <c r="E243" s="0" t="s">
        <v>178</v>
      </c>
      <c r="F243" s="0" t="s">
        <v>29</v>
      </c>
      <c r="G243" s="0" t="s">
        <v>999</v>
      </c>
      <c r="H243" s="0" t="s">
        <v>57</v>
      </c>
      <c r="I243" s="0" t="s">
        <v>529</v>
      </c>
      <c r="J243" s="0" t="s">
        <v>45</v>
      </c>
      <c r="K243" s="0" t="n">
        <v>3</v>
      </c>
      <c r="L243" s="0" t="n">
        <v>2</v>
      </c>
      <c r="M243" s="0" t="n">
        <v>1</v>
      </c>
      <c r="N243" s="0" t="n">
        <v>2</v>
      </c>
      <c r="O243" s="0" t="n">
        <f aca="false">SUM(K243:N243)</f>
        <v>8</v>
      </c>
      <c r="P243" s="0" t="str">
        <f aca="false">IF(O243&gt;=15,"Yes","No")</f>
        <v>No</v>
      </c>
      <c r="Q243" s="0" t="s">
        <v>159</v>
      </c>
      <c r="R243" s="2" t="n">
        <v>246000</v>
      </c>
      <c r="S243" s="3" t="n">
        <v>0.05</v>
      </c>
      <c r="T243" s="2" t="n">
        <f aca="false">R243*S243</f>
        <v>12300</v>
      </c>
      <c r="U243" s="4" t="s">
        <v>1000</v>
      </c>
    </row>
    <row r="244" customFormat="false" ht="15" hidden="false" customHeight="false" outlineLevel="0" collapsed="false">
      <c r="A244" s="0" t="s">
        <v>1001</v>
      </c>
      <c r="B244" s="0" t="s">
        <v>338</v>
      </c>
      <c r="C244" s="0" t="s">
        <v>26</v>
      </c>
      <c r="D244" s="0" t="s">
        <v>27</v>
      </c>
      <c r="E244" s="0" t="s">
        <v>136</v>
      </c>
      <c r="F244" s="0" t="s">
        <v>29</v>
      </c>
      <c r="G244" s="0" t="s">
        <v>373</v>
      </c>
      <c r="H244" s="0" t="s">
        <v>57</v>
      </c>
      <c r="I244" s="0" t="s">
        <v>417</v>
      </c>
      <c r="J244" s="0" t="s">
        <v>59</v>
      </c>
      <c r="K244" s="0" t="n">
        <v>3</v>
      </c>
      <c r="L244" s="0" t="n">
        <v>1</v>
      </c>
      <c r="M244" s="0" t="n">
        <v>3</v>
      </c>
      <c r="N244" s="0" t="n">
        <v>1</v>
      </c>
      <c r="O244" s="0" t="n">
        <f aca="false">SUM(K244:N244)</f>
        <v>8</v>
      </c>
      <c r="P244" s="0" t="str">
        <f aca="false">IF(O244&gt;=15,"Yes","No")</f>
        <v>No</v>
      </c>
      <c r="Q244" s="0" t="s">
        <v>60</v>
      </c>
      <c r="R244" s="2" t="n">
        <v>160000</v>
      </c>
      <c r="S244" s="3" t="n">
        <v>0.15</v>
      </c>
      <c r="T244" s="2" t="n">
        <f aca="false">R244*S244</f>
        <v>24000</v>
      </c>
      <c r="U244" s="4" t="s">
        <v>1002</v>
      </c>
    </row>
    <row r="245" customFormat="false" ht="15" hidden="false" customHeight="false" outlineLevel="0" collapsed="false">
      <c r="A245" s="0" t="s">
        <v>1003</v>
      </c>
      <c r="B245" s="0" t="s">
        <v>464</v>
      </c>
      <c r="C245" s="0" t="s">
        <v>26</v>
      </c>
      <c r="D245" s="0" t="s">
        <v>53</v>
      </c>
      <c r="E245" s="0" t="s">
        <v>84</v>
      </c>
      <c r="F245" s="0" t="s">
        <v>75</v>
      </c>
      <c r="G245" s="0" t="s">
        <v>1004</v>
      </c>
      <c r="H245" s="0" t="s">
        <v>86</v>
      </c>
      <c r="I245" s="0" t="s">
        <v>107</v>
      </c>
      <c r="J245" s="0" t="s">
        <v>69</v>
      </c>
      <c r="K245" s="0" t="n">
        <v>1</v>
      </c>
      <c r="L245" s="0" t="n">
        <v>1</v>
      </c>
      <c r="M245" s="0" t="n">
        <v>1</v>
      </c>
      <c r="N245" s="0" t="n">
        <v>4</v>
      </c>
      <c r="O245" s="0" t="n">
        <f aca="false">SUM(K245:N245)</f>
        <v>7</v>
      </c>
      <c r="P245" s="0" t="str">
        <f aca="false">IF(O245&gt;=15,"Yes","No")</f>
        <v>No</v>
      </c>
      <c r="Q245" s="0" t="s">
        <v>60</v>
      </c>
      <c r="R245" s="2" t="n">
        <v>737000</v>
      </c>
      <c r="S245" s="3" t="n">
        <v>0.15</v>
      </c>
      <c r="T245" s="2" t="n">
        <f aca="false">R245*S245</f>
        <v>110550</v>
      </c>
      <c r="U245" s="4" t="s">
        <v>1005</v>
      </c>
    </row>
    <row r="246" customFormat="false" ht="15" hidden="false" customHeight="false" outlineLevel="0" collapsed="false">
      <c r="A246" s="0" t="s">
        <v>1006</v>
      </c>
      <c r="B246" s="0" t="s">
        <v>214</v>
      </c>
      <c r="C246" s="0" t="s">
        <v>26</v>
      </c>
      <c r="D246" s="0" t="s">
        <v>64</v>
      </c>
      <c r="E246" s="0" t="s">
        <v>84</v>
      </c>
      <c r="F246" s="0" t="s">
        <v>29</v>
      </c>
      <c r="G246" s="0" t="s">
        <v>518</v>
      </c>
      <c r="H246" s="0" t="s">
        <v>248</v>
      </c>
      <c r="I246" s="0" t="s">
        <v>289</v>
      </c>
      <c r="J246" s="0" t="s">
        <v>59</v>
      </c>
      <c r="K246" s="0" t="n">
        <v>5</v>
      </c>
      <c r="L246" s="0" t="n">
        <v>3</v>
      </c>
      <c r="M246" s="0" t="n">
        <v>3</v>
      </c>
      <c r="N246" s="0" t="n">
        <v>3</v>
      </c>
      <c r="O246" s="0" t="n">
        <f aca="false">SUM(K246:N246)</f>
        <v>14</v>
      </c>
      <c r="P246" s="0" t="str">
        <f aca="false">IF(O246&gt;=15,"Yes","No")</f>
        <v>No</v>
      </c>
      <c r="Q246" s="0" t="s">
        <v>34</v>
      </c>
      <c r="R246" s="2" t="n">
        <v>2431000</v>
      </c>
      <c r="S246" s="3" t="n">
        <v>1</v>
      </c>
      <c r="T246" s="2" t="n">
        <f aca="false">R246*S246</f>
        <v>2431000</v>
      </c>
      <c r="U246" s="4" t="s">
        <v>47</v>
      </c>
      <c r="V246" s="4" t="s">
        <v>1007</v>
      </c>
      <c r="W246" s="0" t="n">
        <v>36</v>
      </c>
    </row>
    <row r="247" customFormat="false" ht="15" hidden="false" customHeight="false" outlineLevel="0" collapsed="false">
      <c r="A247" s="0" t="s">
        <v>1008</v>
      </c>
      <c r="B247" s="0" t="s">
        <v>1009</v>
      </c>
      <c r="C247" s="0" t="s">
        <v>129</v>
      </c>
      <c r="D247" s="0" t="s">
        <v>64</v>
      </c>
      <c r="E247" s="0" t="s">
        <v>65</v>
      </c>
      <c r="F247" s="0" t="s">
        <v>55</v>
      </c>
      <c r="G247" s="0" t="s">
        <v>884</v>
      </c>
      <c r="H247" s="0" t="s">
        <v>67</v>
      </c>
      <c r="I247" s="0" t="s">
        <v>335</v>
      </c>
      <c r="J247" s="0" t="s">
        <v>33</v>
      </c>
      <c r="K247" s="0" t="n">
        <v>4</v>
      </c>
      <c r="L247" s="0" t="n">
        <v>5</v>
      </c>
      <c r="M247" s="0" t="n">
        <v>1</v>
      </c>
      <c r="N247" s="0" t="n">
        <v>2</v>
      </c>
      <c r="O247" s="0" t="n">
        <f aca="false">SUM(K247:N247)</f>
        <v>12</v>
      </c>
      <c r="P247" s="0" t="str">
        <f aca="false">IF(O247&gt;=15,"Yes","No")</f>
        <v>No</v>
      </c>
      <c r="Q247" s="0" t="s">
        <v>70</v>
      </c>
      <c r="R247" s="2" t="n">
        <v>2417000</v>
      </c>
      <c r="S247" s="3" t="n">
        <v>0.55</v>
      </c>
      <c r="T247" s="2" t="n">
        <f aca="false">R247*S247</f>
        <v>1329350</v>
      </c>
      <c r="U247" s="4" t="s">
        <v>1010</v>
      </c>
    </row>
    <row r="248" customFormat="false" ht="15" hidden="false" customHeight="false" outlineLevel="0" collapsed="false">
      <c r="A248" s="0" t="s">
        <v>1011</v>
      </c>
      <c r="B248" s="0" t="s">
        <v>1012</v>
      </c>
      <c r="C248" s="0" t="s">
        <v>264</v>
      </c>
      <c r="D248" s="0" t="s">
        <v>53</v>
      </c>
      <c r="E248" s="0" t="s">
        <v>142</v>
      </c>
      <c r="F248" s="0" t="s">
        <v>153</v>
      </c>
      <c r="G248" s="0" t="s">
        <v>350</v>
      </c>
      <c r="H248" s="0" t="s">
        <v>86</v>
      </c>
      <c r="I248" s="0" t="s">
        <v>987</v>
      </c>
      <c r="J248" s="0" t="s">
        <v>59</v>
      </c>
      <c r="K248" s="0" t="n">
        <v>2</v>
      </c>
      <c r="L248" s="0" t="n">
        <v>1</v>
      </c>
      <c r="M248" s="0" t="n">
        <v>2</v>
      </c>
      <c r="N248" s="0" t="n">
        <v>2</v>
      </c>
      <c r="O248" s="0" t="n">
        <f aca="false">SUM(K248:N248)</f>
        <v>7</v>
      </c>
      <c r="P248" s="0" t="str">
        <f aca="false">IF(O248&gt;=15,"Yes","No")</f>
        <v>No</v>
      </c>
      <c r="Q248" s="0" t="s">
        <v>46</v>
      </c>
      <c r="R248" s="2" t="n">
        <v>820000</v>
      </c>
      <c r="S248" s="3" t="n">
        <v>0</v>
      </c>
      <c r="T248" s="2" t="n">
        <f aca="false">R248*S248</f>
        <v>0</v>
      </c>
      <c r="U248" s="4" t="s">
        <v>876</v>
      </c>
      <c r="V248" s="4" t="s">
        <v>1013</v>
      </c>
      <c r="W248" s="0" t="n">
        <v>13</v>
      </c>
      <c r="X248" s="4" t="s">
        <v>310</v>
      </c>
    </row>
    <row r="249" customFormat="false" ht="15" hidden="false" customHeight="false" outlineLevel="0" collapsed="false">
      <c r="A249" s="0" t="s">
        <v>1014</v>
      </c>
      <c r="B249" s="0" t="s">
        <v>1015</v>
      </c>
      <c r="C249" s="0" t="s">
        <v>26</v>
      </c>
      <c r="D249" s="0" t="s">
        <v>27</v>
      </c>
      <c r="E249" s="0" t="s">
        <v>119</v>
      </c>
      <c r="F249" s="0" t="s">
        <v>41</v>
      </c>
      <c r="G249" s="0" t="s">
        <v>1016</v>
      </c>
      <c r="H249" s="0" t="s">
        <v>67</v>
      </c>
      <c r="I249" s="0" t="s">
        <v>297</v>
      </c>
      <c r="J249" s="0" t="s">
        <v>78</v>
      </c>
      <c r="K249" s="0" t="n">
        <v>3</v>
      </c>
      <c r="L249" s="0" t="n">
        <v>1</v>
      </c>
      <c r="M249" s="0" t="n">
        <v>3</v>
      </c>
      <c r="N249" s="0" t="n">
        <v>2</v>
      </c>
      <c r="O249" s="0" t="n">
        <f aca="false">SUM(K249:N249)</f>
        <v>9</v>
      </c>
      <c r="P249" s="0" t="str">
        <f aca="false">IF(O249&gt;=15,"Yes","No")</f>
        <v>No</v>
      </c>
      <c r="Q249" s="0" t="s">
        <v>60</v>
      </c>
      <c r="R249" s="2" t="n">
        <v>217000</v>
      </c>
      <c r="S249" s="3" t="n">
        <v>0.15</v>
      </c>
      <c r="T249" s="2" t="n">
        <f aca="false">R249*S249</f>
        <v>32550</v>
      </c>
      <c r="U249" s="4" t="s">
        <v>202</v>
      </c>
    </row>
    <row r="250" customFormat="false" ht="15" hidden="false" customHeight="false" outlineLevel="0" collapsed="false">
      <c r="A250" s="0" t="s">
        <v>1017</v>
      </c>
      <c r="B250" s="0" t="s">
        <v>830</v>
      </c>
      <c r="C250" s="0" t="s">
        <v>74</v>
      </c>
      <c r="D250" s="0" t="s">
        <v>53</v>
      </c>
      <c r="E250" s="0" t="s">
        <v>142</v>
      </c>
      <c r="F250" s="0" t="s">
        <v>153</v>
      </c>
      <c r="G250" s="0" t="s">
        <v>459</v>
      </c>
      <c r="H250" s="0" t="s">
        <v>57</v>
      </c>
      <c r="I250" s="0" t="s">
        <v>937</v>
      </c>
      <c r="J250" s="0" t="s">
        <v>45</v>
      </c>
      <c r="K250" s="0" t="n">
        <v>1</v>
      </c>
      <c r="L250" s="0" t="n">
        <v>2</v>
      </c>
      <c r="M250" s="0" t="n">
        <v>1</v>
      </c>
      <c r="N250" s="0" t="n">
        <v>2</v>
      </c>
      <c r="O250" s="0" t="n">
        <f aca="false">SUM(K250:N250)</f>
        <v>6</v>
      </c>
      <c r="P250" s="0" t="str">
        <f aca="false">IF(O250&gt;=15,"Yes","No")</f>
        <v>No</v>
      </c>
      <c r="Q250" s="0" t="s">
        <v>46</v>
      </c>
      <c r="R250" s="2" t="n">
        <v>796000</v>
      </c>
      <c r="S250" s="3" t="n">
        <v>0</v>
      </c>
      <c r="T250" s="2" t="n">
        <f aca="false">R250*S250</f>
        <v>0</v>
      </c>
      <c r="U250" s="4" t="s">
        <v>790</v>
      </c>
      <c r="V250" s="4" t="s">
        <v>733</v>
      </c>
      <c r="W250" s="0" t="n">
        <v>20</v>
      </c>
      <c r="X250" s="4" t="s">
        <v>443</v>
      </c>
    </row>
    <row r="251" customFormat="false" ht="15" hidden="false" customHeight="false" outlineLevel="0" collapsed="false">
      <c r="A251" s="0" t="s">
        <v>1018</v>
      </c>
      <c r="B251" s="0" t="s">
        <v>833</v>
      </c>
      <c r="C251" s="0" t="s">
        <v>26</v>
      </c>
      <c r="D251" s="0" t="s">
        <v>64</v>
      </c>
      <c r="E251" s="0" t="s">
        <v>99</v>
      </c>
      <c r="F251" s="0" t="s">
        <v>75</v>
      </c>
      <c r="G251" s="0" t="s">
        <v>729</v>
      </c>
      <c r="H251" s="0" t="s">
        <v>248</v>
      </c>
      <c r="I251" s="0" t="s">
        <v>243</v>
      </c>
      <c r="J251" s="0" t="s">
        <v>45</v>
      </c>
      <c r="K251" s="0" t="n">
        <v>4</v>
      </c>
      <c r="L251" s="0" t="n">
        <v>3</v>
      </c>
      <c r="M251" s="0" t="n">
        <v>2</v>
      </c>
      <c r="N251" s="0" t="n">
        <v>3</v>
      </c>
      <c r="O251" s="0" t="n">
        <f aca="false">SUM(K251:N251)</f>
        <v>12</v>
      </c>
      <c r="P251" s="0" t="str">
        <f aca="false">IF(O251&gt;=15,"Yes","No")</f>
        <v>No</v>
      </c>
      <c r="Q251" s="0" t="s">
        <v>159</v>
      </c>
      <c r="R251" s="2" t="n">
        <v>1747000</v>
      </c>
      <c r="S251" s="3" t="n">
        <v>0.05</v>
      </c>
      <c r="T251" s="2" t="n">
        <f aca="false">R251*S251</f>
        <v>87350</v>
      </c>
      <c r="U251" s="4" t="s">
        <v>489</v>
      </c>
    </row>
    <row r="252" customFormat="false" ht="15" hidden="false" customHeight="false" outlineLevel="0" collapsed="false">
      <c r="A252" s="0" t="s">
        <v>1019</v>
      </c>
      <c r="B252" s="0" t="s">
        <v>798</v>
      </c>
      <c r="C252" s="0" t="s">
        <v>129</v>
      </c>
      <c r="D252" s="0" t="s">
        <v>27</v>
      </c>
      <c r="E252" s="0" t="s">
        <v>92</v>
      </c>
      <c r="F252" s="0" t="s">
        <v>55</v>
      </c>
      <c r="G252" s="0" t="s">
        <v>334</v>
      </c>
      <c r="H252" s="0" t="s">
        <v>31</v>
      </c>
      <c r="I252" s="0" t="s">
        <v>1020</v>
      </c>
      <c r="J252" s="0" t="s">
        <v>45</v>
      </c>
      <c r="K252" s="0" t="n">
        <v>3</v>
      </c>
      <c r="L252" s="0" t="n">
        <v>3</v>
      </c>
      <c r="M252" s="0" t="n">
        <v>4</v>
      </c>
      <c r="N252" s="0" t="n">
        <v>5</v>
      </c>
      <c r="O252" s="0" t="n">
        <f aca="false">SUM(K252:N252)</f>
        <v>15</v>
      </c>
      <c r="P252" s="0" t="str">
        <f aca="false">IF(O252&gt;=15,"Yes","No")</f>
        <v>Yes</v>
      </c>
      <c r="Q252" s="0" t="s">
        <v>159</v>
      </c>
      <c r="R252" s="2" t="n">
        <v>172000</v>
      </c>
      <c r="S252" s="3" t="n">
        <v>0.05</v>
      </c>
      <c r="T252" s="2" t="n">
        <f aca="false">R252*S252</f>
        <v>8600</v>
      </c>
      <c r="U252" s="4" t="s">
        <v>35</v>
      </c>
    </row>
    <row r="253" customFormat="false" ht="15" hidden="false" customHeight="false" outlineLevel="0" collapsed="false">
      <c r="A253" s="0" t="s">
        <v>1021</v>
      </c>
      <c r="B253" s="0" t="s">
        <v>1022</v>
      </c>
      <c r="C253" s="0" t="s">
        <v>264</v>
      </c>
      <c r="D253" s="0" t="s">
        <v>27</v>
      </c>
      <c r="E253" s="0" t="s">
        <v>136</v>
      </c>
      <c r="F253" s="0" t="s">
        <v>179</v>
      </c>
      <c r="G253" s="0" t="s">
        <v>1023</v>
      </c>
      <c r="H253" s="0" t="s">
        <v>67</v>
      </c>
      <c r="I253" s="0" t="s">
        <v>94</v>
      </c>
      <c r="J253" s="0" t="s">
        <v>78</v>
      </c>
      <c r="K253" s="0" t="n">
        <v>2</v>
      </c>
      <c r="L253" s="0" t="n">
        <v>4</v>
      </c>
      <c r="M253" s="0" t="n">
        <v>5</v>
      </c>
      <c r="N253" s="0" t="n">
        <v>5</v>
      </c>
      <c r="O253" s="0" t="n">
        <f aca="false">SUM(K253:N253)</f>
        <v>16</v>
      </c>
      <c r="P253" s="0" t="str">
        <f aca="false">IF(O253&gt;=15,"Yes","No")</f>
        <v>Yes</v>
      </c>
      <c r="Q253" s="0" t="s">
        <v>34</v>
      </c>
      <c r="R253" s="2" t="n">
        <v>147000</v>
      </c>
      <c r="S253" s="3" t="n">
        <v>1</v>
      </c>
      <c r="T253" s="2" t="n">
        <f aca="false">R253*S253</f>
        <v>147000</v>
      </c>
      <c r="U253" s="4" t="s">
        <v>814</v>
      </c>
      <c r="V253" s="4" t="s">
        <v>979</v>
      </c>
      <c r="W253" s="0" t="n">
        <v>34</v>
      </c>
    </row>
    <row r="254" customFormat="false" ht="15" hidden="false" customHeight="false" outlineLevel="0" collapsed="false">
      <c r="A254" s="0" t="s">
        <v>1024</v>
      </c>
      <c r="B254" s="0" t="s">
        <v>1025</v>
      </c>
      <c r="C254" s="0" t="s">
        <v>39</v>
      </c>
      <c r="D254" s="0" t="s">
        <v>53</v>
      </c>
      <c r="E254" s="0" t="s">
        <v>136</v>
      </c>
      <c r="F254" s="0" t="s">
        <v>112</v>
      </c>
      <c r="G254" s="0" t="s">
        <v>1026</v>
      </c>
      <c r="H254" s="0" t="s">
        <v>67</v>
      </c>
      <c r="I254" s="0" t="s">
        <v>1027</v>
      </c>
      <c r="J254" s="0" t="s">
        <v>78</v>
      </c>
      <c r="K254" s="0" t="n">
        <v>4</v>
      </c>
      <c r="L254" s="0" t="n">
        <v>4</v>
      </c>
      <c r="M254" s="0" t="n">
        <v>3</v>
      </c>
      <c r="N254" s="0" t="n">
        <v>2</v>
      </c>
      <c r="O254" s="0" t="n">
        <f aca="false">SUM(K254:N254)</f>
        <v>13</v>
      </c>
      <c r="P254" s="0" t="str">
        <f aca="false">IF(O254&gt;=15,"Yes","No")</f>
        <v>No</v>
      </c>
      <c r="Q254" s="0" t="s">
        <v>60</v>
      </c>
      <c r="R254" s="2" t="n">
        <v>618000</v>
      </c>
      <c r="S254" s="3" t="n">
        <v>0.15</v>
      </c>
      <c r="T254" s="2" t="n">
        <f aca="false">R254*S254</f>
        <v>92700</v>
      </c>
      <c r="U254" s="4" t="s">
        <v>1028</v>
      </c>
    </row>
    <row r="255" customFormat="false" ht="15" hidden="false" customHeight="false" outlineLevel="0" collapsed="false">
      <c r="A255" s="0" t="s">
        <v>1029</v>
      </c>
      <c r="B255" s="0" t="s">
        <v>758</v>
      </c>
      <c r="C255" s="0" t="s">
        <v>152</v>
      </c>
      <c r="D255" s="0" t="s">
        <v>53</v>
      </c>
      <c r="E255" s="0" t="s">
        <v>28</v>
      </c>
      <c r="F255" s="0" t="s">
        <v>55</v>
      </c>
      <c r="G255" s="0" t="s">
        <v>794</v>
      </c>
      <c r="H255" s="0" t="s">
        <v>86</v>
      </c>
      <c r="I255" s="0" t="s">
        <v>1030</v>
      </c>
      <c r="J255" s="0" t="s">
        <v>45</v>
      </c>
      <c r="K255" s="0" t="n">
        <v>2</v>
      </c>
      <c r="L255" s="0" t="n">
        <v>2</v>
      </c>
      <c r="M255" s="0" t="n">
        <v>1</v>
      </c>
      <c r="N255" s="0" t="n">
        <v>3</v>
      </c>
      <c r="O255" s="0" t="n">
        <f aca="false">SUM(K255:N255)</f>
        <v>8</v>
      </c>
      <c r="P255" s="0" t="str">
        <f aca="false">IF(O255&gt;=15,"Yes","No")</f>
        <v>No</v>
      </c>
      <c r="Q255" s="0" t="s">
        <v>46</v>
      </c>
      <c r="R255" s="2" t="n">
        <v>846000</v>
      </c>
      <c r="S255" s="3" t="n">
        <v>0</v>
      </c>
      <c r="T255" s="2" t="n">
        <f aca="false">R255*S255</f>
        <v>0</v>
      </c>
      <c r="U255" s="4" t="s">
        <v>211</v>
      </c>
      <c r="V255" s="4" t="s">
        <v>614</v>
      </c>
      <c r="W255" s="0" t="n">
        <v>22</v>
      </c>
      <c r="X255" s="4" t="s">
        <v>257</v>
      </c>
    </row>
    <row r="256" customFormat="false" ht="15" hidden="false" customHeight="false" outlineLevel="0" collapsed="false">
      <c r="A256" s="0" t="s">
        <v>1031</v>
      </c>
      <c r="B256" s="0" t="s">
        <v>883</v>
      </c>
      <c r="C256" s="0" t="s">
        <v>74</v>
      </c>
      <c r="D256" s="0" t="s">
        <v>53</v>
      </c>
      <c r="E256" s="0" t="s">
        <v>84</v>
      </c>
      <c r="F256" s="0" t="s">
        <v>75</v>
      </c>
      <c r="G256" s="0" t="s">
        <v>781</v>
      </c>
      <c r="H256" s="0" t="s">
        <v>67</v>
      </c>
      <c r="I256" s="0" t="s">
        <v>114</v>
      </c>
      <c r="J256" s="0" t="s">
        <v>78</v>
      </c>
      <c r="K256" s="0" t="n">
        <v>4</v>
      </c>
      <c r="L256" s="0" t="n">
        <v>2</v>
      </c>
      <c r="M256" s="0" t="n">
        <v>3</v>
      </c>
      <c r="N256" s="0" t="n">
        <v>5</v>
      </c>
      <c r="O256" s="0" t="n">
        <f aca="false">SUM(K256:N256)</f>
        <v>14</v>
      </c>
      <c r="P256" s="0" t="str">
        <f aca="false">IF(O256&gt;=15,"Yes","No")</f>
        <v>No</v>
      </c>
      <c r="Q256" s="0" t="s">
        <v>34</v>
      </c>
      <c r="R256" s="2" t="n">
        <v>559000</v>
      </c>
      <c r="S256" s="3" t="n">
        <v>1</v>
      </c>
      <c r="T256" s="2" t="n">
        <f aca="false">R256*S256</f>
        <v>559000</v>
      </c>
      <c r="U256" s="4" t="s">
        <v>1032</v>
      </c>
      <c r="V256" s="4" t="s">
        <v>890</v>
      </c>
      <c r="W256" s="0" t="n">
        <v>30</v>
      </c>
    </row>
    <row r="257" customFormat="false" ht="15" hidden="false" customHeight="false" outlineLevel="0" collapsed="false">
      <c r="A257" s="0" t="s">
        <v>1033</v>
      </c>
      <c r="B257" s="0" t="s">
        <v>567</v>
      </c>
      <c r="C257" s="0" t="s">
        <v>74</v>
      </c>
      <c r="D257" s="0" t="s">
        <v>27</v>
      </c>
      <c r="E257" s="0" t="s">
        <v>322</v>
      </c>
      <c r="F257" s="0" t="s">
        <v>130</v>
      </c>
      <c r="G257" s="0" t="s">
        <v>1034</v>
      </c>
      <c r="H257" s="0" t="s">
        <v>86</v>
      </c>
      <c r="I257" s="0" t="s">
        <v>145</v>
      </c>
      <c r="J257" s="0" t="s">
        <v>45</v>
      </c>
      <c r="K257" s="0" t="n">
        <v>3</v>
      </c>
      <c r="L257" s="0" t="n">
        <v>3</v>
      </c>
      <c r="M257" s="0" t="n">
        <v>1</v>
      </c>
      <c r="N257" s="0" t="n">
        <v>2</v>
      </c>
      <c r="O257" s="0" t="n">
        <f aca="false">SUM(K257:N257)</f>
        <v>9</v>
      </c>
      <c r="P257" s="0" t="str">
        <f aca="false">IF(O257&gt;=15,"Yes","No")</f>
        <v>No</v>
      </c>
      <c r="Q257" s="0" t="s">
        <v>115</v>
      </c>
      <c r="R257" s="2" t="n">
        <v>164000</v>
      </c>
      <c r="S257" s="3" t="n">
        <v>0.35</v>
      </c>
      <c r="T257" s="2" t="n">
        <f aca="false">R257*S257</f>
        <v>57400</v>
      </c>
      <c r="U257" s="4" t="s">
        <v>430</v>
      </c>
    </row>
    <row r="258" customFormat="false" ht="15" hidden="false" customHeight="false" outlineLevel="0" collapsed="false">
      <c r="A258" s="0" t="s">
        <v>1035</v>
      </c>
      <c r="B258" s="0" t="s">
        <v>1036</v>
      </c>
      <c r="C258" s="0" t="s">
        <v>39</v>
      </c>
      <c r="D258" s="0" t="s">
        <v>53</v>
      </c>
      <c r="E258" s="0" t="s">
        <v>28</v>
      </c>
      <c r="F258" s="0" t="s">
        <v>130</v>
      </c>
      <c r="G258" s="0" t="s">
        <v>1037</v>
      </c>
      <c r="H258" s="0" t="s">
        <v>43</v>
      </c>
      <c r="I258" s="0" t="s">
        <v>238</v>
      </c>
      <c r="J258" s="0" t="s">
        <v>78</v>
      </c>
      <c r="K258" s="0" t="n">
        <v>5</v>
      </c>
      <c r="L258" s="0" t="n">
        <v>4</v>
      </c>
      <c r="M258" s="0" t="n">
        <v>4</v>
      </c>
      <c r="N258" s="0" t="n">
        <v>4</v>
      </c>
      <c r="O258" s="0" t="n">
        <f aca="false">SUM(K258:N258)</f>
        <v>17</v>
      </c>
      <c r="P258" s="0" t="str">
        <f aca="false">IF(O258&gt;=15,"Yes","No")</f>
        <v>Yes</v>
      </c>
      <c r="Q258" s="0" t="s">
        <v>34</v>
      </c>
      <c r="R258" s="2" t="n">
        <v>900000</v>
      </c>
      <c r="S258" s="3" t="n">
        <v>1</v>
      </c>
      <c r="T258" s="2" t="n">
        <f aca="false">R258*S258</f>
        <v>900000</v>
      </c>
      <c r="U258" s="4" t="s">
        <v>1038</v>
      </c>
      <c r="V258" s="4" t="s">
        <v>661</v>
      </c>
      <c r="W258" s="0" t="n">
        <v>42</v>
      </c>
    </row>
    <row r="259" customFormat="false" ht="15" hidden="false" customHeight="false" outlineLevel="0" collapsed="false">
      <c r="A259" s="0" t="s">
        <v>1039</v>
      </c>
      <c r="B259" s="0" t="s">
        <v>883</v>
      </c>
      <c r="C259" s="0" t="s">
        <v>129</v>
      </c>
      <c r="D259" s="0" t="s">
        <v>27</v>
      </c>
      <c r="E259" s="0" t="s">
        <v>136</v>
      </c>
      <c r="F259" s="0" t="s">
        <v>112</v>
      </c>
      <c r="G259" s="0" t="s">
        <v>1026</v>
      </c>
      <c r="H259" s="0" t="s">
        <v>43</v>
      </c>
      <c r="I259" s="0" t="s">
        <v>217</v>
      </c>
      <c r="J259" s="0" t="s">
        <v>33</v>
      </c>
      <c r="K259" s="0" t="n">
        <v>4</v>
      </c>
      <c r="L259" s="0" t="n">
        <v>4</v>
      </c>
      <c r="M259" s="0" t="n">
        <v>3</v>
      </c>
      <c r="N259" s="0" t="n">
        <v>4</v>
      </c>
      <c r="O259" s="0" t="n">
        <f aca="false">SUM(K259:N259)</f>
        <v>15</v>
      </c>
      <c r="P259" s="0" t="str">
        <f aca="false">IF(O259&gt;=15,"Yes","No")</f>
        <v>Yes</v>
      </c>
      <c r="Q259" s="0" t="s">
        <v>46</v>
      </c>
      <c r="R259" s="2" t="n">
        <v>161000</v>
      </c>
      <c r="S259" s="3" t="n">
        <v>0</v>
      </c>
      <c r="T259" s="2" t="n">
        <f aca="false">R259*S259</f>
        <v>0</v>
      </c>
      <c r="U259" s="4" t="s">
        <v>351</v>
      </c>
      <c r="V259" s="4" t="s">
        <v>689</v>
      </c>
      <c r="W259" s="0" t="n">
        <v>36</v>
      </c>
      <c r="X259" s="4" t="s">
        <v>257</v>
      </c>
    </row>
    <row r="260" customFormat="false" ht="15" hidden="false" customHeight="false" outlineLevel="0" collapsed="false">
      <c r="A260" s="0" t="s">
        <v>1040</v>
      </c>
      <c r="B260" s="0" t="s">
        <v>685</v>
      </c>
      <c r="C260" s="0" t="s">
        <v>39</v>
      </c>
      <c r="D260" s="0" t="s">
        <v>53</v>
      </c>
      <c r="E260" s="0" t="s">
        <v>119</v>
      </c>
      <c r="F260" s="0" t="s">
        <v>29</v>
      </c>
      <c r="G260" s="0" t="s">
        <v>1041</v>
      </c>
      <c r="H260" s="0" t="s">
        <v>67</v>
      </c>
      <c r="I260" s="0" t="s">
        <v>303</v>
      </c>
      <c r="J260" s="0" t="s">
        <v>78</v>
      </c>
      <c r="K260" s="0" t="n">
        <v>3</v>
      </c>
      <c r="L260" s="0" t="n">
        <v>5</v>
      </c>
      <c r="M260" s="0" t="n">
        <v>4</v>
      </c>
      <c r="N260" s="0" t="n">
        <v>3</v>
      </c>
      <c r="O260" s="0" t="n">
        <f aca="false">SUM(K260:N260)</f>
        <v>15</v>
      </c>
      <c r="P260" s="0" t="str">
        <f aca="false">IF(O260&gt;=15,"Yes","No")</f>
        <v>Yes</v>
      </c>
      <c r="Q260" s="0" t="s">
        <v>46</v>
      </c>
      <c r="R260" s="2" t="n">
        <v>896000</v>
      </c>
      <c r="S260" s="3" t="n">
        <v>0</v>
      </c>
      <c r="T260" s="2" t="n">
        <f aca="false">R260*S260</f>
        <v>0</v>
      </c>
      <c r="U260" s="4" t="s">
        <v>557</v>
      </c>
      <c r="V260" s="4" t="s">
        <v>1042</v>
      </c>
      <c r="W260" s="0" t="n">
        <v>29</v>
      </c>
      <c r="X260" s="4" t="s">
        <v>257</v>
      </c>
    </row>
    <row r="261" customFormat="false" ht="15" hidden="false" customHeight="false" outlineLevel="0" collapsed="false">
      <c r="A261" s="0" t="s">
        <v>1043</v>
      </c>
      <c r="B261" s="0" t="s">
        <v>252</v>
      </c>
      <c r="C261" s="0" t="s">
        <v>74</v>
      </c>
      <c r="D261" s="0" t="s">
        <v>27</v>
      </c>
      <c r="E261" s="0" t="s">
        <v>119</v>
      </c>
      <c r="F261" s="0" t="s">
        <v>75</v>
      </c>
      <c r="G261" s="0" t="s">
        <v>483</v>
      </c>
      <c r="H261" s="0" t="s">
        <v>31</v>
      </c>
      <c r="I261" s="0" t="s">
        <v>576</v>
      </c>
      <c r="J261" s="0" t="s">
        <v>78</v>
      </c>
      <c r="K261" s="0" t="n">
        <v>1</v>
      </c>
      <c r="L261" s="0" t="n">
        <v>3</v>
      </c>
      <c r="M261" s="0" t="n">
        <v>2</v>
      </c>
      <c r="N261" s="0" t="n">
        <v>5</v>
      </c>
      <c r="O261" s="0" t="n">
        <f aca="false">SUM(K261:N261)</f>
        <v>11</v>
      </c>
      <c r="P261" s="0" t="str">
        <f aca="false">IF(O261&gt;=15,"Yes","No")</f>
        <v>No</v>
      </c>
      <c r="Q261" s="0" t="s">
        <v>159</v>
      </c>
      <c r="R261" s="2" t="n">
        <v>239000</v>
      </c>
      <c r="S261" s="3" t="n">
        <v>0.05</v>
      </c>
      <c r="T261" s="2" t="n">
        <f aca="false">R261*S261</f>
        <v>11950</v>
      </c>
      <c r="U261" s="4" t="s">
        <v>1044</v>
      </c>
    </row>
    <row r="262" customFormat="false" ht="15" hidden="false" customHeight="false" outlineLevel="0" collapsed="false">
      <c r="A262" s="0" t="s">
        <v>1045</v>
      </c>
      <c r="B262" s="0" t="s">
        <v>1046</v>
      </c>
      <c r="C262" s="0" t="s">
        <v>52</v>
      </c>
      <c r="D262" s="0" t="s">
        <v>27</v>
      </c>
      <c r="E262" s="0" t="s">
        <v>54</v>
      </c>
      <c r="F262" s="0" t="s">
        <v>55</v>
      </c>
      <c r="G262" s="0" t="s">
        <v>365</v>
      </c>
      <c r="H262" s="0" t="s">
        <v>57</v>
      </c>
      <c r="I262" s="0" t="s">
        <v>198</v>
      </c>
      <c r="J262" s="0" t="s">
        <v>59</v>
      </c>
      <c r="K262" s="0" t="n">
        <v>1</v>
      </c>
      <c r="L262" s="0" t="n">
        <v>2</v>
      </c>
      <c r="M262" s="0" t="n">
        <v>3</v>
      </c>
      <c r="N262" s="0" t="n">
        <v>4</v>
      </c>
      <c r="O262" s="0" t="n">
        <f aca="false">SUM(K262:N262)</f>
        <v>10</v>
      </c>
      <c r="P262" s="0" t="str">
        <f aca="false">IF(O262&gt;=15,"Yes","No")</f>
        <v>No</v>
      </c>
      <c r="Q262" s="0" t="s">
        <v>60</v>
      </c>
      <c r="R262" s="2" t="n">
        <v>246000</v>
      </c>
      <c r="S262" s="3" t="n">
        <v>0.15</v>
      </c>
      <c r="T262" s="2" t="n">
        <f aca="false">R262*S262</f>
        <v>36900</v>
      </c>
      <c r="U262" s="4" t="s">
        <v>116</v>
      </c>
    </row>
    <row r="263" customFormat="false" ht="15" hidden="false" customHeight="false" outlineLevel="0" collapsed="false">
      <c r="A263" s="0" t="s">
        <v>1047</v>
      </c>
      <c r="B263" s="0" t="s">
        <v>395</v>
      </c>
      <c r="C263" s="0" t="s">
        <v>26</v>
      </c>
      <c r="D263" s="0" t="s">
        <v>53</v>
      </c>
      <c r="E263" s="0" t="s">
        <v>65</v>
      </c>
      <c r="F263" s="0" t="s">
        <v>75</v>
      </c>
      <c r="G263" s="0" t="s">
        <v>1048</v>
      </c>
      <c r="H263" s="0" t="s">
        <v>57</v>
      </c>
      <c r="I263" s="0" t="s">
        <v>561</v>
      </c>
      <c r="J263" s="0" t="s">
        <v>78</v>
      </c>
      <c r="K263" s="0" t="n">
        <v>4</v>
      </c>
      <c r="L263" s="0" t="n">
        <v>3</v>
      </c>
      <c r="M263" s="0" t="n">
        <v>2</v>
      </c>
      <c r="N263" s="0" t="n">
        <v>1</v>
      </c>
      <c r="O263" s="0" t="n">
        <f aca="false">SUM(K263:N263)</f>
        <v>10</v>
      </c>
      <c r="P263" s="0" t="str">
        <f aca="false">IF(O263&gt;=15,"Yes","No")</f>
        <v>No</v>
      </c>
      <c r="Q263" s="0" t="s">
        <v>159</v>
      </c>
      <c r="R263" s="2" t="n">
        <v>748000</v>
      </c>
      <c r="S263" s="3" t="n">
        <v>0.05</v>
      </c>
      <c r="T263" s="2" t="n">
        <f aca="false">R263*S263</f>
        <v>37400</v>
      </c>
      <c r="U263" s="4" t="s">
        <v>186</v>
      </c>
    </row>
    <row r="264" customFormat="false" ht="15" hidden="false" customHeight="false" outlineLevel="0" collapsed="false">
      <c r="A264" s="0" t="s">
        <v>1049</v>
      </c>
      <c r="B264" s="0" t="s">
        <v>172</v>
      </c>
      <c r="C264" s="0" t="s">
        <v>26</v>
      </c>
      <c r="D264" s="0" t="s">
        <v>53</v>
      </c>
      <c r="E264" s="0" t="s">
        <v>84</v>
      </c>
      <c r="F264" s="0" t="s">
        <v>153</v>
      </c>
      <c r="G264" s="0" t="s">
        <v>173</v>
      </c>
      <c r="H264" s="0" t="s">
        <v>57</v>
      </c>
      <c r="I264" s="0" t="s">
        <v>471</v>
      </c>
      <c r="J264" s="0" t="s">
        <v>59</v>
      </c>
      <c r="K264" s="0" t="n">
        <v>2</v>
      </c>
      <c r="L264" s="0" t="n">
        <v>3</v>
      </c>
      <c r="M264" s="0" t="n">
        <v>1</v>
      </c>
      <c r="N264" s="0" t="n">
        <v>2</v>
      </c>
      <c r="O264" s="0" t="n">
        <f aca="false">SUM(K264:N264)</f>
        <v>8</v>
      </c>
      <c r="P264" s="0" t="str">
        <f aca="false">IF(O264&gt;=15,"Yes","No")</f>
        <v>No</v>
      </c>
      <c r="Q264" s="0" t="s">
        <v>159</v>
      </c>
      <c r="R264" s="2" t="n">
        <v>610000</v>
      </c>
      <c r="S264" s="3" t="n">
        <v>0.05</v>
      </c>
      <c r="T264" s="2" t="n">
        <f aca="false">R264*S264</f>
        <v>30500</v>
      </c>
      <c r="U264" s="4" t="s">
        <v>160</v>
      </c>
    </row>
    <row r="265" customFormat="false" ht="15" hidden="false" customHeight="false" outlineLevel="0" collapsed="false">
      <c r="A265" s="0" t="s">
        <v>1050</v>
      </c>
      <c r="B265" s="0" t="s">
        <v>668</v>
      </c>
      <c r="C265" s="0" t="s">
        <v>264</v>
      </c>
      <c r="D265" s="0" t="s">
        <v>53</v>
      </c>
      <c r="E265" s="0" t="s">
        <v>40</v>
      </c>
      <c r="F265" s="0" t="s">
        <v>41</v>
      </c>
      <c r="G265" s="0" t="s">
        <v>1051</v>
      </c>
      <c r="H265" s="0" t="s">
        <v>57</v>
      </c>
      <c r="I265" s="0" t="s">
        <v>857</v>
      </c>
      <c r="J265" s="0" t="s">
        <v>78</v>
      </c>
      <c r="K265" s="0" t="n">
        <v>3</v>
      </c>
      <c r="L265" s="0" t="n">
        <v>2</v>
      </c>
      <c r="M265" s="0" t="n">
        <v>2</v>
      </c>
      <c r="N265" s="0" t="n">
        <v>3</v>
      </c>
      <c r="O265" s="0" t="n">
        <f aca="false">SUM(K265:N265)</f>
        <v>10</v>
      </c>
      <c r="P265" s="0" t="str">
        <f aca="false">IF(O265&gt;=15,"Yes","No")</f>
        <v>No</v>
      </c>
      <c r="Q265" s="0" t="s">
        <v>60</v>
      </c>
      <c r="R265" s="2" t="n">
        <v>498000</v>
      </c>
      <c r="S265" s="3" t="n">
        <v>0.15</v>
      </c>
      <c r="T265" s="2" t="n">
        <f aca="false">R265*S265</f>
        <v>74700</v>
      </c>
      <c r="U265" s="4" t="s">
        <v>393</v>
      </c>
    </row>
    <row r="266" customFormat="false" ht="15" hidden="false" customHeight="false" outlineLevel="0" collapsed="false">
      <c r="A266" s="0" t="s">
        <v>1052</v>
      </c>
      <c r="B266" s="0" t="s">
        <v>728</v>
      </c>
      <c r="C266" s="0" t="s">
        <v>52</v>
      </c>
      <c r="D266" s="0" t="s">
        <v>53</v>
      </c>
      <c r="E266" s="0" t="s">
        <v>195</v>
      </c>
      <c r="F266" s="0" t="s">
        <v>153</v>
      </c>
      <c r="G266" s="0" t="s">
        <v>543</v>
      </c>
      <c r="H266" s="0" t="s">
        <v>248</v>
      </c>
      <c r="I266" s="0" t="s">
        <v>1053</v>
      </c>
      <c r="J266" s="0" t="s">
        <v>78</v>
      </c>
      <c r="K266" s="0" t="n">
        <v>4</v>
      </c>
      <c r="L266" s="0" t="n">
        <v>1</v>
      </c>
      <c r="M266" s="0" t="n">
        <v>4</v>
      </c>
      <c r="N266" s="0" t="n">
        <v>3</v>
      </c>
      <c r="O266" s="0" t="n">
        <f aca="false">SUM(K266:N266)</f>
        <v>12</v>
      </c>
      <c r="P266" s="0" t="str">
        <f aca="false">IF(O266&gt;=15,"Yes","No")</f>
        <v>No</v>
      </c>
      <c r="Q266" s="0" t="s">
        <v>60</v>
      </c>
      <c r="R266" s="2" t="n">
        <v>772000</v>
      </c>
      <c r="S266" s="3" t="n">
        <v>0.15</v>
      </c>
      <c r="T266" s="2" t="n">
        <f aca="false">R266*S266</f>
        <v>115800</v>
      </c>
      <c r="U266" s="4" t="s">
        <v>926</v>
      </c>
    </row>
    <row r="267" customFormat="false" ht="15" hidden="false" customHeight="false" outlineLevel="0" collapsed="false">
      <c r="A267" s="0" t="s">
        <v>1054</v>
      </c>
      <c r="B267" s="0" t="s">
        <v>225</v>
      </c>
      <c r="C267" s="0" t="s">
        <v>129</v>
      </c>
      <c r="D267" s="0" t="s">
        <v>53</v>
      </c>
      <c r="E267" s="0" t="s">
        <v>215</v>
      </c>
      <c r="F267" s="0" t="s">
        <v>41</v>
      </c>
      <c r="G267" s="0" t="s">
        <v>1055</v>
      </c>
      <c r="H267" s="0" t="s">
        <v>67</v>
      </c>
      <c r="I267" s="0" t="s">
        <v>1056</v>
      </c>
      <c r="J267" s="0" t="s">
        <v>33</v>
      </c>
      <c r="K267" s="0" t="n">
        <v>4</v>
      </c>
      <c r="L267" s="0" t="n">
        <v>3</v>
      </c>
      <c r="M267" s="0" t="n">
        <v>2</v>
      </c>
      <c r="N267" s="0" t="n">
        <v>5</v>
      </c>
      <c r="O267" s="0" t="n">
        <f aca="false">SUM(K267:N267)</f>
        <v>14</v>
      </c>
      <c r="P267" s="0" t="str">
        <f aca="false">IF(O267&gt;=15,"Yes","No")</f>
        <v>No</v>
      </c>
      <c r="Q267" s="0" t="s">
        <v>159</v>
      </c>
      <c r="R267" s="2" t="n">
        <v>649000</v>
      </c>
      <c r="S267" s="3" t="n">
        <v>0.05</v>
      </c>
      <c r="T267" s="2" t="n">
        <f aca="false">R267*S267</f>
        <v>32450</v>
      </c>
      <c r="U267" s="4" t="s">
        <v>648</v>
      </c>
    </row>
    <row r="268" customFormat="false" ht="15" hidden="false" customHeight="false" outlineLevel="0" collapsed="false">
      <c r="A268" s="0" t="s">
        <v>1057</v>
      </c>
      <c r="B268" s="0" t="s">
        <v>513</v>
      </c>
      <c r="C268" s="0" t="s">
        <v>39</v>
      </c>
      <c r="D268" s="0" t="s">
        <v>64</v>
      </c>
      <c r="E268" s="0" t="s">
        <v>84</v>
      </c>
      <c r="F268" s="0" t="s">
        <v>112</v>
      </c>
      <c r="G268" s="0" t="s">
        <v>539</v>
      </c>
      <c r="H268" s="0" t="s">
        <v>31</v>
      </c>
      <c r="I268" s="0" t="s">
        <v>1058</v>
      </c>
      <c r="J268" s="0" t="s">
        <v>69</v>
      </c>
      <c r="K268" s="0" t="n">
        <v>2</v>
      </c>
      <c r="L268" s="0" t="n">
        <v>3</v>
      </c>
      <c r="M268" s="0" t="n">
        <v>5</v>
      </c>
      <c r="N268" s="0" t="n">
        <v>2</v>
      </c>
      <c r="O268" s="0" t="n">
        <f aca="false">SUM(K268:N268)</f>
        <v>12</v>
      </c>
      <c r="P268" s="0" t="str">
        <f aca="false">IF(O268&gt;=15,"Yes","No")</f>
        <v>No</v>
      </c>
      <c r="Q268" s="0" t="s">
        <v>46</v>
      </c>
      <c r="R268" s="2" t="n">
        <v>1927000</v>
      </c>
      <c r="S268" s="3" t="n">
        <v>0</v>
      </c>
      <c r="T268" s="2" t="n">
        <f aca="false">R268*S268</f>
        <v>0</v>
      </c>
      <c r="U268" s="4" t="s">
        <v>351</v>
      </c>
      <c r="V268" s="4" t="s">
        <v>371</v>
      </c>
      <c r="W268" s="0" t="n">
        <v>41</v>
      </c>
      <c r="X268" s="4" t="s">
        <v>257</v>
      </c>
    </row>
    <row r="269" customFormat="false" ht="15" hidden="false" customHeight="false" outlineLevel="0" collapsed="false">
      <c r="A269" s="0" t="s">
        <v>1059</v>
      </c>
      <c r="B269" s="0" t="s">
        <v>750</v>
      </c>
      <c r="C269" s="0" t="s">
        <v>74</v>
      </c>
      <c r="D269" s="0" t="s">
        <v>53</v>
      </c>
      <c r="E269" s="0" t="s">
        <v>65</v>
      </c>
      <c r="F269" s="0" t="s">
        <v>153</v>
      </c>
      <c r="G269" s="0" t="s">
        <v>514</v>
      </c>
      <c r="H269" s="0" t="s">
        <v>67</v>
      </c>
      <c r="I269" s="0" t="s">
        <v>885</v>
      </c>
      <c r="J269" s="0" t="s">
        <v>45</v>
      </c>
      <c r="K269" s="0" t="n">
        <v>5</v>
      </c>
      <c r="L269" s="0" t="n">
        <v>2</v>
      </c>
      <c r="M269" s="0" t="n">
        <v>5</v>
      </c>
      <c r="N269" s="0" t="n">
        <v>2</v>
      </c>
      <c r="O269" s="0" t="n">
        <f aca="false">SUM(K269:N269)</f>
        <v>14</v>
      </c>
      <c r="P269" s="0" t="str">
        <f aca="false">IF(O269&gt;=15,"Yes","No")</f>
        <v>No</v>
      </c>
      <c r="Q269" s="0" t="s">
        <v>60</v>
      </c>
      <c r="R269" s="2" t="n">
        <v>705000</v>
      </c>
      <c r="S269" s="3" t="n">
        <v>0.15</v>
      </c>
      <c r="T269" s="2" t="n">
        <f aca="false">R269*S269</f>
        <v>105750</v>
      </c>
      <c r="U269" s="4" t="s">
        <v>963</v>
      </c>
    </row>
    <row r="270" customFormat="false" ht="15" hidden="false" customHeight="false" outlineLevel="0" collapsed="false">
      <c r="A270" s="0" t="s">
        <v>1060</v>
      </c>
      <c r="B270" s="0" t="s">
        <v>1061</v>
      </c>
      <c r="C270" s="0" t="s">
        <v>39</v>
      </c>
      <c r="D270" s="0" t="s">
        <v>64</v>
      </c>
      <c r="E270" s="0" t="s">
        <v>195</v>
      </c>
      <c r="F270" s="0" t="s">
        <v>75</v>
      </c>
      <c r="G270" s="0" t="s">
        <v>1062</v>
      </c>
      <c r="H270" s="0" t="s">
        <v>86</v>
      </c>
      <c r="I270" s="0" t="s">
        <v>170</v>
      </c>
      <c r="J270" s="0" t="s">
        <v>33</v>
      </c>
      <c r="K270" s="0" t="n">
        <v>3</v>
      </c>
      <c r="L270" s="0" t="n">
        <v>1</v>
      </c>
      <c r="M270" s="0" t="n">
        <v>1</v>
      </c>
      <c r="N270" s="0" t="n">
        <v>4</v>
      </c>
      <c r="O270" s="0" t="n">
        <f aca="false">SUM(K270:N270)</f>
        <v>9</v>
      </c>
      <c r="P270" s="0" t="str">
        <f aca="false">IF(O270&gt;=15,"Yes","No")</f>
        <v>No</v>
      </c>
      <c r="Q270" s="0" t="s">
        <v>46</v>
      </c>
      <c r="R270" s="2" t="n">
        <v>1880000</v>
      </c>
      <c r="S270" s="3" t="n">
        <v>0</v>
      </c>
      <c r="T270" s="2" t="n">
        <f aca="false">R270*S270</f>
        <v>0</v>
      </c>
      <c r="U270" s="4" t="s">
        <v>35</v>
      </c>
      <c r="V270" s="4" t="s">
        <v>1063</v>
      </c>
      <c r="W270" s="0" t="n">
        <v>27</v>
      </c>
      <c r="X270" s="4" t="s">
        <v>310</v>
      </c>
    </row>
    <row r="271" customFormat="false" ht="15" hidden="false" customHeight="false" outlineLevel="0" collapsed="false">
      <c r="A271" s="0" t="s">
        <v>1064</v>
      </c>
      <c r="B271" s="0" t="s">
        <v>571</v>
      </c>
      <c r="C271" s="0" t="s">
        <v>264</v>
      </c>
      <c r="D271" s="0" t="s">
        <v>27</v>
      </c>
      <c r="E271" s="0" t="s">
        <v>54</v>
      </c>
      <c r="F271" s="0" t="s">
        <v>41</v>
      </c>
      <c r="G271" s="0" t="s">
        <v>1065</v>
      </c>
      <c r="H271" s="0" t="s">
        <v>57</v>
      </c>
      <c r="I271" s="0" t="s">
        <v>949</v>
      </c>
      <c r="J271" s="0" t="s">
        <v>69</v>
      </c>
      <c r="K271" s="0" t="n">
        <v>4</v>
      </c>
      <c r="L271" s="0" t="n">
        <v>1</v>
      </c>
      <c r="M271" s="0" t="n">
        <v>2</v>
      </c>
      <c r="N271" s="0" t="n">
        <v>3</v>
      </c>
      <c r="O271" s="0" t="n">
        <f aca="false">SUM(K271:N271)</f>
        <v>10</v>
      </c>
      <c r="P271" s="0" t="str">
        <f aca="false">IF(O271&gt;=15,"Yes","No")</f>
        <v>No</v>
      </c>
      <c r="Q271" s="0" t="s">
        <v>115</v>
      </c>
      <c r="R271" s="2" t="n">
        <v>148000</v>
      </c>
      <c r="S271" s="3" t="n">
        <v>0.35</v>
      </c>
      <c r="T271" s="2" t="n">
        <f aca="false">R271*S271</f>
        <v>51800</v>
      </c>
      <c r="U271" s="4" t="s">
        <v>1066</v>
      </c>
    </row>
    <row r="272" customFormat="false" ht="15" hidden="false" customHeight="false" outlineLevel="0" collapsed="false">
      <c r="A272" s="0" t="s">
        <v>1067</v>
      </c>
      <c r="B272" s="0" t="s">
        <v>793</v>
      </c>
      <c r="C272" s="0" t="s">
        <v>52</v>
      </c>
      <c r="D272" s="0" t="s">
        <v>27</v>
      </c>
      <c r="E272" s="0" t="s">
        <v>99</v>
      </c>
      <c r="F272" s="0" t="s">
        <v>41</v>
      </c>
      <c r="G272" s="0" t="s">
        <v>1068</v>
      </c>
      <c r="H272" s="0" t="s">
        <v>57</v>
      </c>
      <c r="I272" s="0" t="s">
        <v>114</v>
      </c>
      <c r="J272" s="0" t="s">
        <v>78</v>
      </c>
      <c r="K272" s="0" t="n">
        <v>2</v>
      </c>
      <c r="L272" s="0" t="n">
        <v>2</v>
      </c>
      <c r="M272" s="0" t="n">
        <v>3</v>
      </c>
      <c r="N272" s="0" t="n">
        <v>2</v>
      </c>
      <c r="O272" s="0" t="n">
        <f aca="false">SUM(K272:N272)</f>
        <v>9</v>
      </c>
      <c r="P272" s="0" t="str">
        <f aca="false">IF(O272&gt;=15,"Yes","No")</f>
        <v>No</v>
      </c>
      <c r="Q272" s="0" t="s">
        <v>115</v>
      </c>
      <c r="R272" s="2" t="n">
        <v>135000</v>
      </c>
      <c r="S272" s="3" t="n">
        <v>0.35</v>
      </c>
      <c r="T272" s="2" t="n">
        <f aca="false">R272*S272</f>
        <v>47250</v>
      </c>
      <c r="U272" s="4" t="s">
        <v>714</v>
      </c>
    </row>
    <row r="273" customFormat="false" ht="15" hidden="false" customHeight="false" outlineLevel="0" collapsed="false">
      <c r="A273" s="0" t="s">
        <v>1069</v>
      </c>
      <c r="B273" s="0" t="s">
        <v>487</v>
      </c>
      <c r="C273" s="0" t="s">
        <v>74</v>
      </c>
      <c r="D273" s="0" t="s">
        <v>64</v>
      </c>
      <c r="E273" s="0" t="s">
        <v>84</v>
      </c>
      <c r="F273" s="0" t="s">
        <v>130</v>
      </c>
      <c r="G273" s="0" t="s">
        <v>1070</v>
      </c>
      <c r="H273" s="0" t="s">
        <v>43</v>
      </c>
      <c r="I273" s="0" t="s">
        <v>186</v>
      </c>
      <c r="J273" s="0" t="s">
        <v>45</v>
      </c>
      <c r="K273" s="0" t="n">
        <v>5</v>
      </c>
      <c r="L273" s="0" t="n">
        <v>4</v>
      </c>
      <c r="M273" s="0" t="n">
        <v>5</v>
      </c>
      <c r="N273" s="0" t="n">
        <v>3</v>
      </c>
      <c r="O273" s="0" t="n">
        <f aca="false">SUM(K273:N273)</f>
        <v>17</v>
      </c>
      <c r="P273" s="0" t="str">
        <f aca="false">IF(O273&gt;=15,"Yes","No")</f>
        <v>Yes</v>
      </c>
      <c r="Q273" s="0" t="s">
        <v>46</v>
      </c>
      <c r="R273" s="2" t="n">
        <v>2507000</v>
      </c>
      <c r="S273" s="3" t="n">
        <v>0</v>
      </c>
      <c r="T273" s="2" t="n">
        <f aca="false">R273*S273</f>
        <v>0</v>
      </c>
      <c r="U273" s="4" t="s">
        <v>88</v>
      </c>
      <c r="V273" s="4" t="s">
        <v>1071</v>
      </c>
      <c r="W273" s="0" t="n">
        <v>40</v>
      </c>
      <c r="X273" s="4" t="s">
        <v>49</v>
      </c>
    </row>
    <row r="274" customFormat="false" ht="15" hidden="false" customHeight="false" outlineLevel="0" collapsed="false">
      <c r="A274" s="0" t="s">
        <v>1072</v>
      </c>
      <c r="B274" s="0" t="s">
        <v>842</v>
      </c>
      <c r="C274" s="0" t="s">
        <v>74</v>
      </c>
      <c r="D274" s="0" t="s">
        <v>64</v>
      </c>
      <c r="E274" s="0" t="s">
        <v>178</v>
      </c>
      <c r="F274" s="0" t="s">
        <v>112</v>
      </c>
      <c r="G274" s="0" t="s">
        <v>1073</v>
      </c>
      <c r="H274" s="0" t="s">
        <v>86</v>
      </c>
      <c r="I274" s="0" t="s">
        <v>94</v>
      </c>
      <c r="J274" s="0" t="s">
        <v>59</v>
      </c>
      <c r="K274" s="0" t="n">
        <v>1</v>
      </c>
      <c r="L274" s="0" t="n">
        <v>1</v>
      </c>
      <c r="M274" s="0" t="n">
        <v>1</v>
      </c>
      <c r="N274" s="0" t="n">
        <v>3</v>
      </c>
      <c r="O274" s="0" t="n">
        <f aca="false">SUM(K274:N274)</f>
        <v>6</v>
      </c>
      <c r="P274" s="0" t="str">
        <f aca="false">IF(O274&gt;=15,"Yes","No")</f>
        <v>No</v>
      </c>
      <c r="Q274" s="0" t="s">
        <v>60</v>
      </c>
      <c r="R274" s="2" t="n">
        <v>2427000</v>
      </c>
      <c r="S274" s="3" t="n">
        <v>0.15</v>
      </c>
      <c r="T274" s="2" t="n">
        <f aca="false">R274*S274</f>
        <v>364050</v>
      </c>
      <c r="U274" s="4" t="s">
        <v>133</v>
      </c>
    </row>
    <row r="275" customFormat="false" ht="15" hidden="false" customHeight="false" outlineLevel="0" collapsed="false">
      <c r="A275" s="0" t="s">
        <v>1074</v>
      </c>
      <c r="B275" s="0" t="s">
        <v>354</v>
      </c>
      <c r="C275" s="0" t="s">
        <v>26</v>
      </c>
      <c r="D275" s="0" t="s">
        <v>53</v>
      </c>
      <c r="E275" s="0" t="s">
        <v>65</v>
      </c>
      <c r="F275" s="0" t="s">
        <v>75</v>
      </c>
      <c r="G275" s="0" t="s">
        <v>1075</v>
      </c>
      <c r="H275" s="0" t="s">
        <v>67</v>
      </c>
      <c r="I275" s="0" t="s">
        <v>756</v>
      </c>
      <c r="J275" s="0" t="s">
        <v>59</v>
      </c>
      <c r="K275" s="0" t="n">
        <v>3</v>
      </c>
      <c r="L275" s="0" t="n">
        <v>2</v>
      </c>
      <c r="M275" s="0" t="n">
        <v>3</v>
      </c>
      <c r="N275" s="0" t="n">
        <v>2</v>
      </c>
      <c r="O275" s="0" t="n">
        <f aca="false">SUM(K275:N275)</f>
        <v>10</v>
      </c>
      <c r="P275" s="0" t="str">
        <f aca="false">IF(O275&gt;=15,"Yes","No")</f>
        <v>No</v>
      </c>
      <c r="Q275" s="0" t="s">
        <v>159</v>
      </c>
      <c r="R275" s="2" t="n">
        <v>738000</v>
      </c>
      <c r="S275" s="3" t="n">
        <v>0.05</v>
      </c>
      <c r="T275" s="2" t="n">
        <f aca="false">R275*S275</f>
        <v>36900</v>
      </c>
      <c r="U275" s="4" t="s">
        <v>553</v>
      </c>
    </row>
    <row r="276" customFormat="false" ht="15" hidden="false" customHeight="false" outlineLevel="0" collapsed="false">
      <c r="A276" s="0" t="s">
        <v>1076</v>
      </c>
      <c r="B276" s="0" t="s">
        <v>1077</v>
      </c>
      <c r="C276" s="0" t="s">
        <v>26</v>
      </c>
      <c r="D276" s="0" t="s">
        <v>64</v>
      </c>
      <c r="E276" s="0" t="s">
        <v>65</v>
      </c>
      <c r="F276" s="0" t="s">
        <v>153</v>
      </c>
      <c r="G276" s="0" t="s">
        <v>802</v>
      </c>
      <c r="H276" s="0" t="s">
        <v>67</v>
      </c>
      <c r="I276" s="0" t="s">
        <v>197</v>
      </c>
      <c r="J276" s="0" t="s">
        <v>59</v>
      </c>
      <c r="K276" s="0" t="n">
        <v>3</v>
      </c>
      <c r="L276" s="0" t="n">
        <v>1</v>
      </c>
      <c r="M276" s="0" t="n">
        <v>5</v>
      </c>
      <c r="N276" s="0" t="n">
        <v>3</v>
      </c>
      <c r="O276" s="0" t="n">
        <f aca="false">SUM(K276:N276)</f>
        <v>12</v>
      </c>
      <c r="P276" s="0" t="str">
        <f aca="false">IF(O276&gt;=15,"Yes","No")</f>
        <v>No</v>
      </c>
      <c r="Q276" s="0" t="s">
        <v>159</v>
      </c>
      <c r="R276" s="2" t="n">
        <v>2227000</v>
      </c>
      <c r="S276" s="3" t="n">
        <v>0.05</v>
      </c>
      <c r="T276" s="2" t="n">
        <f aca="false">R276*S276</f>
        <v>111350</v>
      </c>
      <c r="U276" s="4" t="s">
        <v>267</v>
      </c>
    </row>
    <row r="277" customFormat="false" ht="15" hidden="false" customHeight="false" outlineLevel="0" collapsed="false">
      <c r="A277" s="0" t="s">
        <v>1078</v>
      </c>
      <c r="B277" s="0" t="s">
        <v>968</v>
      </c>
      <c r="C277" s="0" t="s">
        <v>74</v>
      </c>
      <c r="D277" s="0" t="s">
        <v>64</v>
      </c>
      <c r="E277" s="0" t="s">
        <v>84</v>
      </c>
      <c r="F277" s="0" t="s">
        <v>75</v>
      </c>
      <c r="G277" s="0" t="s">
        <v>173</v>
      </c>
      <c r="H277" s="0" t="s">
        <v>86</v>
      </c>
      <c r="I277" s="0" t="s">
        <v>1079</v>
      </c>
      <c r="J277" s="0" t="s">
        <v>45</v>
      </c>
      <c r="K277" s="0" t="n">
        <v>2</v>
      </c>
      <c r="L277" s="0" t="n">
        <v>1</v>
      </c>
      <c r="M277" s="0" t="n">
        <v>1</v>
      </c>
      <c r="N277" s="0" t="n">
        <v>3</v>
      </c>
      <c r="O277" s="0" t="n">
        <f aca="false">SUM(K277:N277)</f>
        <v>7</v>
      </c>
      <c r="P277" s="0" t="str">
        <f aca="false">IF(O277&gt;=15,"Yes","No")</f>
        <v>No</v>
      </c>
      <c r="Q277" s="0" t="s">
        <v>159</v>
      </c>
      <c r="R277" s="2" t="n">
        <v>2713000</v>
      </c>
      <c r="S277" s="3" t="n">
        <v>0.05</v>
      </c>
      <c r="T277" s="2" t="n">
        <f aca="false">R277*S277</f>
        <v>135650</v>
      </c>
      <c r="U277" s="4" t="s">
        <v>1080</v>
      </c>
    </row>
    <row r="278" customFormat="false" ht="15" hidden="false" customHeight="false" outlineLevel="0" collapsed="false">
      <c r="A278" s="0" t="s">
        <v>1081</v>
      </c>
      <c r="B278" s="0" t="s">
        <v>609</v>
      </c>
      <c r="C278" s="0" t="s">
        <v>39</v>
      </c>
      <c r="D278" s="0" t="s">
        <v>27</v>
      </c>
      <c r="E278" s="0" t="s">
        <v>105</v>
      </c>
      <c r="F278" s="0" t="s">
        <v>153</v>
      </c>
      <c r="G278" s="0" t="s">
        <v>818</v>
      </c>
      <c r="H278" s="0" t="s">
        <v>43</v>
      </c>
      <c r="I278" s="0" t="s">
        <v>662</v>
      </c>
      <c r="J278" s="0" t="s">
        <v>33</v>
      </c>
      <c r="K278" s="0" t="n">
        <v>4</v>
      </c>
      <c r="L278" s="0" t="n">
        <v>5</v>
      </c>
      <c r="M278" s="0" t="n">
        <v>3</v>
      </c>
      <c r="N278" s="0" t="n">
        <v>4</v>
      </c>
      <c r="O278" s="0" t="n">
        <f aca="false">SUM(K278:N278)</f>
        <v>16</v>
      </c>
      <c r="P278" s="0" t="str">
        <f aca="false">IF(O278&gt;=15,"Yes","No")</f>
        <v>Yes</v>
      </c>
      <c r="Q278" s="0" t="s">
        <v>159</v>
      </c>
      <c r="R278" s="2" t="n">
        <v>237000</v>
      </c>
      <c r="S278" s="3" t="n">
        <v>0.05</v>
      </c>
      <c r="T278" s="2" t="n">
        <f aca="false">R278*S278</f>
        <v>11850</v>
      </c>
      <c r="U278" s="4" t="s">
        <v>1082</v>
      </c>
    </row>
    <row r="279" customFormat="false" ht="15" hidden="false" customHeight="false" outlineLevel="0" collapsed="false">
      <c r="A279" s="0" t="s">
        <v>1083</v>
      </c>
      <c r="B279" s="0" t="s">
        <v>189</v>
      </c>
      <c r="C279" s="0" t="s">
        <v>129</v>
      </c>
      <c r="D279" s="0" t="s">
        <v>27</v>
      </c>
      <c r="E279" s="0" t="s">
        <v>322</v>
      </c>
      <c r="F279" s="0" t="s">
        <v>153</v>
      </c>
      <c r="G279" s="0" t="s">
        <v>721</v>
      </c>
      <c r="H279" s="0" t="s">
        <v>57</v>
      </c>
      <c r="I279" s="0" t="s">
        <v>36</v>
      </c>
      <c r="J279" s="0" t="s">
        <v>78</v>
      </c>
      <c r="K279" s="0" t="n">
        <v>3</v>
      </c>
      <c r="L279" s="0" t="n">
        <v>1</v>
      </c>
      <c r="M279" s="0" t="n">
        <v>3</v>
      </c>
      <c r="N279" s="0" t="n">
        <v>3</v>
      </c>
      <c r="O279" s="0" t="n">
        <f aca="false">SUM(K279:N279)</f>
        <v>10</v>
      </c>
      <c r="P279" s="0" t="str">
        <f aca="false">IF(O279&gt;=15,"Yes","No")</f>
        <v>No</v>
      </c>
      <c r="Q279" s="0" t="s">
        <v>46</v>
      </c>
      <c r="R279" s="2" t="n">
        <v>225000</v>
      </c>
      <c r="S279" s="3" t="n">
        <v>0</v>
      </c>
      <c r="T279" s="2" t="n">
        <f aca="false">R279*S279</f>
        <v>0</v>
      </c>
      <c r="U279" s="4" t="s">
        <v>852</v>
      </c>
      <c r="V279" s="4" t="s">
        <v>1084</v>
      </c>
      <c r="W279" s="0" t="n">
        <v>21</v>
      </c>
      <c r="X279" s="4" t="s">
        <v>443</v>
      </c>
    </row>
    <row r="280" customFormat="false" ht="15" hidden="false" customHeight="false" outlineLevel="0" collapsed="false">
      <c r="A280" s="0" t="s">
        <v>1085</v>
      </c>
      <c r="B280" s="0" t="s">
        <v>128</v>
      </c>
      <c r="C280" s="0" t="s">
        <v>26</v>
      </c>
      <c r="D280" s="0" t="s">
        <v>27</v>
      </c>
      <c r="E280" s="0" t="s">
        <v>195</v>
      </c>
      <c r="F280" s="0" t="s">
        <v>153</v>
      </c>
      <c r="G280" s="0" t="s">
        <v>1086</v>
      </c>
      <c r="H280" s="0" t="s">
        <v>31</v>
      </c>
      <c r="I280" s="0" t="s">
        <v>726</v>
      </c>
      <c r="J280" s="0" t="s">
        <v>78</v>
      </c>
      <c r="K280" s="0" t="n">
        <v>5</v>
      </c>
      <c r="L280" s="0" t="n">
        <v>5</v>
      </c>
      <c r="M280" s="0" t="n">
        <v>3</v>
      </c>
      <c r="N280" s="0" t="n">
        <v>3</v>
      </c>
      <c r="O280" s="0" t="n">
        <f aca="false">SUM(K280:N280)</f>
        <v>16</v>
      </c>
      <c r="P280" s="0" t="str">
        <f aca="false">IF(O280&gt;=15,"Yes","No")</f>
        <v>Yes</v>
      </c>
      <c r="Q280" s="0" t="s">
        <v>60</v>
      </c>
      <c r="R280" s="2" t="n">
        <v>218000</v>
      </c>
      <c r="S280" s="3" t="n">
        <v>0.15</v>
      </c>
      <c r="T280" s="2" t="n">
        <f aca="false">R280*S280</f>
        <v>32700</v>
      </c>
      <c r="U280" s="4" t="s">
        <v>1087</v>
      </c>
    </row>
    <row r="281" customFormat="false" ht="15" hidden="false" customHeight="false" outlineLevel="0" collapsed="false">
      <c r="A281" s="0" t="s">
        <v>1088</v>
      </c>
      <c r="B281" s="0" t="s">
        <v>1089</v>
      </c>
      <c r="C281" s="0" t="s">
        <v>26</v>
      </c>
      <c r="D281" s="0" t="s">
        <v>27</v>
      </c>
      <c r="E281" s="0" t="s">
        <v>28</v>
      </c>
      <c r="F281" s="0" t="s">
        <v>153</v>
      </c>
      <c r="G281" s="0" t="s">
        <v>977</v>
      </c>
      <c r="H281" s="0" t="s">
        <v>248</v>
      </c>
      <c r="I281" s="0" t="s">
        <v>1090</v>
      </c>
      <c r="J281" s="0" t="s">
        <v>45</v>
      </c>
      <c r="K281" s="0" t="n">
        <v>2</v>
      </c>
      <c r="L281" s="0" t="n">
        <v>2</v>
      </c>
      <c r="M281" s="0" t="n">
        <v>4</v>
      </c>
      <c r="N281" s="0" t="n">
        <v>1</v>
      </c>
      <c r="O281" s="0" t="n">
        <f aca="false">SUM(K281:N281)</f>
        <v>9</v>
      </c>
      <c r="P281" s="0" t="str">
        <f aca="false">IF(O281&gt;=15,"Yes","No")</f>
        <v>No</v>
      </c>
      <c r="Q281" s="0" t="s">
        <v>70</v>
      </c>
      <c r="R281" s="2" t="n">
        <v>136000</v>
      </c>
      <c r="S281" s="3" t="n">
        <v>0.55</v>
      </c>
      <c r="T281" s="2" t="n">
        <f aca="false">R281*S281</f>
        <v>74800</v>
      </c>
      <c r="U281" s="4" t="s">
        <v>803</v>
      </c>
    </row>
    <row r="282" customFormat="false" ht="15" hidden="false" customHeight="false" outlineLevel="0" collapsed="false">
      <c r="A282" s="0" t="s">
        <v>1091</v>
      </c>
      <c r="B282" s="0" t="s">
        <v>321</v>
      </c>
      <c r="C282" s="0" t="s">
        <v>129</v>
      </c>
      <c r="D282" s="0" t="s">
        <v>53</v>
      </c>
      <c r="E282" s="0" t="s">
        <v>215</v>
      </c>
      <c r="F282" s="0" t="s">
        <v>75</v>
      </c>
      <c r="G282" s="0" t="s">
        <v>1092</v>
      </c>
      <c r="H282" s="0" t="s">
        <v>67</v>
      </c>
      <c r="I282" s="0" t="s">
        <v>191</v>
      </c>
      <c r="J282" s="0" t="s">
        <v>45</v>
      </c>
      <c r="K282" s="0" t="n">
        <v>4</v>
      </c>
      <c r="L282" s="0" t="n">
        <v>4</v>
      </c>
      <c r="M282" s="0" t="n">
        <v>2</v>
      </c>
      <c r="N282" s="0" t="n">
        <v>2</v>
      </c>
      <c r="O282" s="0" t="n">
        <f aca="false">SUM(K282:N282)</f>
        <v>12</v>
      </c>
      <c r="P282" s="0" t="str">
        <f aca="false">IF(O282&gt;=15,"Yes","No")</f>
        <v>No</v>
      </c>
      <c r="Q282" s="0" t="s">
        <v>115</v>
      </c>
      <c r="R282" s="2" t="n">
        <v>561000</v>
      </c>
      <c r="S282" s="3" t="n">
        <v>0.35</v>
      </c>
      <c r="T282" s="2" t="n">
        <f aca="false">R282*S282</f>
        <v>196350</v>
      </c>
      <c r="U282" s="4" t="s">
        <v>149</v>
      </c>
    </row>
    <row r="283" customFormat="false" ht="15" hidden="false" customHeight="false" outlineLevel="0" collapsed="false">
      <c r="A283" s="0" t="s">
        <v>1093</v>
      </c>
      <c r="B283" s="0" t="s">
        <v>1094</v>
      </c>
      <c r="C283" s="0" t="s">
        <v>26</v>
      </c>
      <c r="D283" s="0" t="s">
        <v>27</v>
      </c>
      <c r="E283" s="0" t="s">
        <v>111</v>
      </c>
      <c r="F283" s="0" t="s">
        <v>130</v>
      </c>
      <c r="G283" s="0" t="s">
        <v>1095</v>
      </c>
      <c r="H283" s="0" t="s">
        <v>86</v>
      </c>
      <c r="I283" s="0" t="s">
        <v>911</v>
      </c>
      <c r="J283" s="0" t="s">
        <v>33</v>
      </c>
      <c r="K283" s="0" t="n">
        <v>2</v>
      </c>
      <c r="L283" s="0" t="n">
        <v>1</v>
      </c>
      <c r="M283" s="0" t="n">
        <v>2</v>
      </c>
      <c r="N283" s="0" t="n">
        <v>1</v>
      </c>
      <c r="O283" s="0" t="n">
        <f aca="false">SUM(K283:N283)</f>
        <v>6</v>
      </c>
      <c r="P283" s="0" t="str">
        <f aca="false">IF(O283&gt;=15,"Yes","No")</f>
        <v>No</v>
      </c>
      <c r="Q283" s="0" t="s">
        <v>46</v>
      </c>
      <c r="R283" s="2" t="n">
        <v>156000</v>
      </c>
      <c r="S283" s="3" t="n">
        <v>0</v>
      </c>
      <c r="T283" s="2" t="n">
        <f aca="false">R283*S283</f>
        <v>0</v>
      </c>
      <c r="U283" s="4" t="s">
        <v>430</v>
      </c>
      <c r="V283" s="4" t="s">
        <v>420</v>
      </c>
      <c r="W283" s="0" t="n">
        <v>16</v>
      </c>
      <c r="X283" s="4" t="s">
        <v>310</v>
      </c>
    </row>
    <row r="284" customFormat="false" ht="15" hidden="false" customHeight="false" outlineLevel="0" collapsed="false">
      <c r="A284" s="0" t="s">
        <v>1096</v>
      </c>
      <c r="B284" s="0" t="s">
        <v>464</v>
      </c>
      <c r="C284" s="0" t="s">
        <v>26</v>
      </c>
      <c r="D284" s="0" t="s">
        <v>27</v>
      </c>
      <c r="E284" s="0" t="s">
        <v>142</v>
      </c>
      <c r="F284" s="0" t="s">
        <v>130</v>
      </c>
      <c r="G284" s="0" t="s">
        <v>1097</v>
      </c>
      <c r="H284" s="0" t="s">
        <v>248</v>
      </c>
      <c r="I284" s="0" t="s">
        <v>206</v>
      </c>
      <c r="J284" s="0" t="s">
        <v>45</v>
      </c>
      <c r="K284" s="0" t="n">
        <v>3</v>
      </c>
      <c r="L284" s="0" t="n">
        <v>1</v>
      </c>
      <c r="M284" s="0" t="n">
        <v>1</v>
      </c>
      <c r="N284" s="0" t="n">
        <v>4</v>
      </c>
      <c r="O284" s="0" t="n">
        <f aca="false">SUM(K284:N284)</f>
        <v>9</v>
      </c>
      <c r="P284" s="0" t="str">
        <f aca="false">IF(O284&gt;=15,"Yes","No")</f>
        <v>No</v>
      </c>
      <c r="Q284" s="0" t="s">
        <v>115</v>
      </c>
      <c r="R284" s="2" t="n">
        <v>217000</v>
      </c>
      <c r="S284" s="3" t="n">
        <v>0.35</v>
      </c>
      <c r="T284" s="2" t="n">
        <f aca="false">R284*S284</f>
        <v>75950</v>
      </c>
      <c r="U284" s="4" t="s">
        <v>848</v>
      </c>
    </row>
    <row r="285" customFormat="false" ht="15" hidden="false" customHeight="false" outlineLevel="0" collapsed="false">
      <c r="A285" s="0" t="s">
        <v>1098</v>
      </c>
      <c r="B285" s="0" t="s">
        <v>716</v>
      </c>
      <c r="C285" s="0" t="s">
        <v>74</v>
      </c>
      <c r="D285" s="0" t="s">
        <v>53</v>
      </c>
      <c r="E285" s="0" t="s">
        <v>119</v>
      </c>
      <c r="F285" s="0" t="s">
        <v>29</v>
      </c>
      <c r="G285" s="0" t="s">
        <v>158</v>
      </c>
      <c r="H285" s="0" t="s">
        <v>67</v>
      </c>
      <c r="I285" s="0" t="s">
        <v>1099</v>
      </c>
      <c r="J285" s="0" t="s">
        <v>59</v>
      </c>
      <c r="K285" s="0" t="n">
        <v>2</v>
      </c>
      <c r="L285" s="0" t="n">
        <v>2</v>
      </c>
      <c r="M285" s="0" t="n">
        <v>3</v>
      </c>
      <c r="N285" s="0" t="n">
        <v>4</v>
      </c>
      <c r="O285" s="0" t="n">
        <f aca="false">SUM(K285:N285)</f>
        <v>11</v>
      </c>
      <c r="P285" s="0" t="str">
        <f aca="false">IF(O285&gt;=15,"Yes","No")</f>
        <v>No</v>
      </c>
      <c r="Q285" s="0" t="s">
        <v>46</v>
      </c>
      <c r="R285" s="2" t="n">
        <v>539000</v>
      </c>
      <c r="S285" s="3" t="n">
        <v>0</v>
      </c>
      <c r="T285" s="2" t="n">
        <f aca="false">R285*S285</f>
        <v>0</v>
      </c>
      <c r="U285" s="4" t="s">
        <v>1100</v>
      </c>
      <c r="V285" s="4" t="s">
        <v>359</v>
      </c>
      <c r="W285" s="0" t="n">
        <v>25</v>
      </c>
      <c r="X285" s="4" t="s">
        <v>326</v>
      </c>
    </row>
    <row r="286" customFormat="false" ht="15" hidden="false" customHeight="false" outlineLevel="0" collapsed="false">
      <c r="A286" s="0" t="s">
        <v>1101</v>
      </c>
      <c r="B286" s="0" t="s">
        <v>636</v>
      </c>
      <c r="C286" s="0" t="s">
        <v>184</v>
      </c>
      <c r="D286" s="0" t="s">
        <v>27</v>
      </c>
      <c r="E286" s="0" t="s">
        <v>136</v>
      </c>
      <c r="F286" s="0" t="s">
        <v>41</v>
      </c>
      <c r="G286" s="0" t="s">
        <v>1102</v>
      </c>
      <c r="H286" s="0" t="s">
        <v>67</v>
      </c>
      <c r="I286" s="0" t="s">
        <v>1103</v>
      </c>
      <c r="J286" s="0" t="s">
        <v>59</v>
      </c>
      <c r="K286" s="0" t="n">
        <v>2</v>
      </c>
      <c r="L286" s="0" t="n">
        <v>3</v>
      </c>
      <c r="M286" s="0" t="n">
        <v>3</v>
      </c>
      <c r="N286" s="0" t="n">
        <v>2</v>
      </c>
      <c r="O286" s="0" t="n">
        <f aca="false">SUM(K286:N286)</f>
        <v>10</v>
      </c>
      <c r="P286" s="0" t="str">
        <f aca="false">IF(O286&gt;=15,"Yes","No")</f>
        <v>No</v>
      </c>
      <c r="Q286" s="0" t="s">
        <v>46</v>
      </c>
      <c r="R286" s="2" t="n">
        <v>148000</v>
      </c>
      <c r="S286" s="3" t="n">
        <v>0</v>
      </c>
      <c r="T286" s="2" t="n">
        <f aca="false">R286*S286</f>
        <v>0</v>
      </c>
      <c r="U286" s="4" t="s">
        <v>991</v>
      </c>
      <c r="V286" s="4" t="s">
        <v>1104</v>
      </c>
      <c r="W286" s="0" t="n">
        <v>40</v>
      </c>
      <c r="X286" s="4" t="s">
        <v>81</v>
      </c>
    </row>
    <row r="287" customFormat="false" ht="15" hidden="false" customHeight="false" outlineLevel="0" collapsed="false">
      <c r="A287" s="0" t="s">
        <v>1105</v>
      </c>
      <c r="B287" s="0" t="s">
        <v>104</v>
      </c>
      <c r="C287" s="0" t="s">
        <v>52</v>
      </c>
      <c r="D287" s="0" t="s">
        <v>64</v>
      </c>
      <c r="E287" s="0" t="s">
        <v>215</v>
      </c>
      <c r="F287" s="0" t="s">
        <v>112</v>
      </c>
      <c r="G287" s="0" t="s">
        <v>216</v>
      </c>
      <c r="H287" s="0" t="s">
        <v>86</v>
      </c>
      <c r="I287" s="0" t="s">
        <v>648</v>
      </c>
      <c r="J287" s="0" t="s">
        <v>33</v>
      </c>
      <c r="K287" s="0" t="n">
        <v>1</v>
      </c>
      <c r="L287" s="0" t="n">
        <v>1</v>
      </c>
      <c r="M287" s="0" t="n">
        <v>1</v>
      </c>
      <c r="N287" s="0" t="n">
        <v>1</v>
      </c>
      <c r="O287" s="0" t="n">
        <f aca="false">SUM(K287:N287)</f>
        <v>4</v>
      </c>
      <c r="P287" s="0" t="str">
        <f aca="false">IF(O287&gt;=15,"Yes","No")</f>
        <v>No</v>
      </c>
      <c r="Q287" s="0" t="s">
        <v>60</v>
      </c>
      <c r="R287" s="2" t="n">
        <v>2272000</v>
      </c>
      <c r="S287" s="3" t="n">
        <v>0.15</v>
      </c>
      <c r="T287" s="2" t="n">
        <f aca="false">R287*S287</f>
        <v>340800</v>
      </c>
      <c r="U287" s="4" t="s">
        <v>108</v>
      </c>
    </row>
    <row r="288" customFormat="false" ht="15" hidden="false" customHeight="false" outlineLevel="0" collapsed="false">
      <c r="A288" s="0" t="s">
        <v>1106</v>
      </c>
      <c r="B288" s="0" t="s">
        <v>1107</v>
      </c>
      <c r="C288" s="0" t="s">
        <v>74</v>
      </c>
      <c r="D288" s="0" t="s">
        <v>53</v>
      </c>
      <c r="E288" s="0" t="s">
        <v>40</v>
      </c>
      <c r="F288" s="0" t="s">
        <v>179</v>
      </c>
      <c r="G288" s="0" t="s">
        <v>952</v>
      </c>
      <c r="H288" s="0" t="s">
        <v>57</v>
      </c>
      <c r="I288" s="0" t="s">
        <v>960</v>
      </c>
      <c r="J288" s="0" t="s">
        <v>45</v>
      </c>
      <c r="K288" s="0" t="n">
        <v>2</v>
      </c>
      <c r="L288" s="0" t="n">
        <v>2</v>
      </c>
      <c r="M288" s="0" t="n">
        <v>1</v>
      </c>
      <c r="N288" s="0" t="n">
        <v>1</v>
      </c>
      <c r="O288" s="0" t="n">
        <f aca="false">SUM(K288:N288)</f>
        <v>6</v>
      </c>
      <c r="P288" s="0" t="str">
        <f aca="false">IF(O288&gt;=15,"Yes","No")</f>
        <v>No</v>
      </c>
      <c r="Q288" s="0" t="s">
        <v>159</v>
      </c>
      <c r="R288" s="2" t="n">
        <v>806000</v>
      </c>
      <c r="S288" s="3" t="n">
        <v>0.05</v>
      </c>
      <c r="T288" s="2" t="n">
        <f aca="false">R288*S288</f>
        <v>40300</v>
      </c>
      <c r="U288" s="4" t="s">
        <v>866</v>
      </c>
    </row>
    <row r="289" customFormat="false" ht="15" hidden="false" customHeight="false" outlineLevel="0" collapsed="false">
      <c r="A289" s="0" t="s">
        <v>1108</v>
      </c>
      <c r="B289" s="0" t="s">
        <v>1109</v>
      </c>
      <c r="C289" s="0" t="s">
        <v>152</v>
      </c>
      <c r="D289" s="0" t="s">
        <v>53</v>
      </c>
      <c r="E289" s="0" t="s">
        <v>92</v>
      </c>
      <c r="F289" s="0" t="s">
        <v>75</v>
      </c>
      <c r="G289" s="0" t="s">
        <v>1110</v>
      </c>
      <c r="H289" s="0" t="s">
        <v>31</v>
      </c>
      <c r="I289" s="0" t="s">
        <v>1111</v>
      </c>
      <c r="J289" s="0" t="s">
        <v>78</v>
      </c>
      <c r="K289" s="0" t="n">
        <v>4</v>
      </c>
      <c r="L289" s="0" t="n">
        <v>5</v>
      </c>
      <c r="M289" s="0" t="n">
        <v>4</v>
      </c>
      <c r="N289" s="0" t="n">
        <v>5</v>
      </c>
      <c r="O289" s="0" t="n">
        <f aca="false">SUM(K289:N289)</f>
        <v>18</v>
      </c>
      <c r="P289" s="0" t="str">
        <f aca="false">IF(O289&gt;=15,"Yes","No")</f>
        <v>Yes</v>
      </c>
      <c r="Q289" s="0" t="s">
        <v>34</v>
      </c>
      <c r="R289" s="2" t="n">
        <v>558000</v>
      </c>
      <c r="S289" s="3" t="n">
        <v>1</v>
      </c>
      <c r="T289" s="2" t="n">
        <f aca="false">R289*S289</f>
        <v>558000</v>
      </c>
      <c r="U289" s="4" t="s">
        <v>466</v>
      </c>
      <c r="V289" s="4" t="s">
        <v>1112</v>
      </c>
      <c r="W289" s="0" t="n">
        <v>45</v>
      </c>
    </row>
    <row r="290" customFormat="false" ht="15" hidden="false" customHeight="false" outlineLevel="0" collapsed="false">
      <c r="A290" s="0" t="s">
        <v>1113</v>
      </c>
      <c r="B290" s="0" t="s">
        <v>631</v>
      </c>
      <c r="C290" s="0" t="s">
        <v>152</v>
      </c>
      <c r="D290" s="0" t="s">
        <v>27</v>
      </c>
      <c r="E290" s="0" t="s">
        <v>105</v>
      </c>
      <c r="F290" s="0" t="s">
        <v>153</v>
      </c>
      <c r="G290" s="0" t="s">
        <v>1114</v>
      </c>
      <c r="H290" s="0" t="s">
        <v>86</v>
      </c>
      <c r="I290" s="0" t="s">
        <v>456</v>
      </c>
      <c r="J290" s="0" t="s">
        <v>78</v>
      </c>
      <c r="K290" s="0" t="n">
        <v>1</v>
      </c>
      <c r="L290" s="0" t="n">
        <v>4</v>
      </c>
      <c r="M290" s="0" t="n">
        <v>1</v>
      </c>
      <c r="N290" s="0" t="n">
        <v>2</v>
      </c>
      <c r="O290" s="0" t="n">
        <f aca="false">SUM(K290:N290)</f>
        <v>8</v>
      </c>
      <c r="P290" s="0" t="str">
        <f aca="false">IF(O290&gt;=15,"Yes","No")</f>
        <v>No</v>
      </c>
      <c r="Q290" s="0" t="s">
        <v>70</v>
      </c>
      <c r="R290" s="2" t="n">
        <v>214000</v>
      </c>
      <c r="S290" s="3" t="n">
        <v>0.55</v>
      </c>
      <c r="T290" s="2" t="n">
        <f aca="false">R290*S290</f>
        <v>117700</v>
      </c>
      <c r="U290" s="4" t="s">
        <v>191</v>
      </c>
    </row>
    <row r="291" customFormat="false" ht="15" hidden="false" customHeight="false" outlineLevel="0" collapsed="false">
      <c r="A291" s="0" t="s">
        <v>1115</v>
      </c>
      <c r="B291" s="0" t="s">
        <v>263</v>
      </c>
      <c r="C291" s="0" t="s">
        <v>52</v>
      </c>
      <c r="D291" s="0" t="s">
        <v>53</v>
      </c>
      <c r="E291" s="0" t="s">
        <v>195</v>
      </c>
      <c r="F291" s="0" t="s">
        <v>29</v>
      </c>
      <c r="G291" s="0" t="s">
        <v>1062</v>
      </c>
      <c r="H291" s="0" t="s">
        <v>67</v>
      </c>
      <c r="I291" s="0" t="s">
        <v>1116</v>
      </c>
      <c r="J291" s="0" t="s">
        <v>45</v>
      </c>
      <c r="K291" s="0" t="n">
        <v>2</v>
      </c>
      <c r="L291" s="0" t="n">
        <v>3</v>
      </c>
      <c r="M291" s="0" t="n">
        <v>3</v>
      </c>
      <c r="N291" s="0" t="n">
        <v>3</v>
      </c>
      <c r="O291" s="0" t="n">
        <f aca="false">SUM(K291:N291)</f>
        <v>11</v>
      </c>
      <c r="P291" s="0" t="str">
        <f aca="false">IF(O291&gt;=15,"Yes","No")</f>
        <v>No</v>
      </c>
      <c r="Q291" s="0" t="s">
        <v>46</v>
      </c>
      <c r="R291" s="2" t="n">
        <v>593000</v>
      </c>
      <c r="S291" s="3" t="n">
        <v>0</v>
      </c>
      <c r="T291" s="2" t="n">
        <f aca="false">R291*S291</f>
        <v>0</v>
      </c>
      <c r="U291" s="4" t="s">
        <v>1117</v>
      </c>
      <c r="V291" s="4" t="s">
        <v>222</v>
      </c>
      <c r="W291" s="0" t="n">
        <v>21</v>
      </c>
      <c r="X291" s="4" t="s">
        <v>257</v>
      </c>
    </row>
    <row r="292" customFormat="false" ht="15" hidden="false" customHeight="false" outlineLevel="0" collapsed="false">
      <c r="A292" s="0" t="s">
        <v>1118</v>
      </c>
      <c r="B292" s="0" t="s">
        <v>833</v>
      </c>
      <c r="C292" s="0" t="s">
        <v>26</v>
      </c>
      <c r="D292" s="0" t="s">
        <v>64</v>
      </c>
      <c r="E292" s="0" t="s">
        <v>111</v>
      </c>
      <c r="F292" s="0" t="s">
        <v>112</v>
      </c>
      <c r="G292" s="0" t="s">
        <v>610</v>
      </c>
      <c r="H292" s="0" t="s">
        <v>248</v>
      </c>
      <c r="I292" s="0" t="s">
        <v>957</v>
      </c>
      <c r="J292" s="0" t="s">
        <v>78</v>
      </c>
      <c r="K292" s="0" t="n">
        <v>3</v>
      </c>
      <c r="L292" s="0" t="n">
        <v>3</v>
      </c>
      <c r="M292" s="0" t="n">
        <v>1</v>
      </c>
      <c r="N292" s="0" t="n">
        <v>4</v>
      </c>
      <c r="O292" s="0" t="n">
        <f aca="false">SUM(K292:N292)</f>
        <v>11</v>
      </c>
      <c r="P292" s="0" t="str">
        <f aca="false">IF(O292&gt;=15,"Yes","No")</f>
        <v>No</v>
      </c>
      <c r="Q292" s="0" t="s">
        <v>46</v>
      </c>
      <c r="R292" s="2" t="n">
        <v>2626000</v>
      </c>
      <c r="S292" s="3" t="n">
        <v>0</v>
      </c>
      <c r="T292" s="2" t="n">
        <f aca="false">R292*S292</f>
        <v>0</v>
      </c>
      <c r="U292" s="4" t="s">
        <v>1119</v>
      </c>
      <c r="V292" s="4" t="s">
        <v>1120</v>
      </c>
      <c r="W292" s="0" t="n">
        <v>18</v>
      </c>
      <c r="X292" s="4" t="s">
        <v>81</v>
      </c>
    </row>
    <row r="293" customFormat="false" ht="15" hidden="false" customHeight="false" outlineLevel="0" collapsed="false">
      <c r="A293" s="0" t="s">
        <v>1121</v>
      </c>
      <c r="B293" s="0" t="s">
        <v>758</v>
      </c>
      <c r="C293" s="0" t="s">
        <v>26</v>
      </c>
      <c r="D293" s="0" t="s">
        <v>27</v>
      </c>
      <c r="E293" s="0" t="s">
        <v>142</v>
      </c>
      <c r="F293" s="0" t="s">
        <v>130</v>
      </c>
      <c r="G293" s="0" t="s">
        <v>904</v>
      </c>
      <c r="H293" s="0" t="s">
        <v>31</v>
      </c>
      <c r="I293" s="0" t="s">
        <v>766</v>
      </c>
      <c r="J293" s="0" t="s">
        <v>33</v>
      </c>
      <c r="K293" s="0" t="n">
        <v>5</v>
      </c>
      <c r="L293" s="0" t="n">
        <v>1</v>
      </c>
      <c r="M293" s="0" t="n">
        <v>2</v>
      </c>
      <c r="N293" s="0" t="n">
        <v>5</v>
      </c>
      <c r="O293" s="0" t="n">
        <f aca="false">SUM(K293:N293)</f>
        <v>13</v>
      </c>
      <c r="P293" s="0" t="str">
        <f aca="false">IF(O293&gt;=15,"Yes","No")</f>
        <v>No</v>
      </c>
      <c r="Q293" s="0" t="s">
        <v>159</v>
      </c>
      <c r="R293" s="2" t="n">
        <v>212000</v>
      </c>
      <c r="S293" s="3" t="n">
        <v>0.05</v>
      </c>
      <c r="T293" s="2" t="n">
        <f aca="false">R293*S293</f>
        <v>10600</v>
      </c>
      <c r="U293" s="4" t="s">
        <v>988</v>
      </c>
    </row>
    <row r="294" customFormat="false" ht="15" hidden="false" customHeight="false" outlineLevel="0" collapsed="false">
      <c r="A294" s="0" t="s">
        <v>1122</v>
      </c>
      <c r="B294" s="0" t="s">
        <v>1123</v>
      </c>
      <c r="C294" s="0" t="s">
        <v>264</v>
      </c>
      <c r="D294" s="0" t="s">
        <v>27</v>
      </c>
      <c r="E294" s="0" t="s">
        <v>322</v>
      </c>
      <c r="F294" s="0" t="s">
        <v>41</v>
      </c>
      <c r="G294" s="0" t="s">
        <v>1124</v>
      </c>
      <c r="H294" s="0" t="s">
        <v>248</v>
      </c>
      <c r="I294" s="0" t="s">
        <v>1125</v>
      </c>
      <c r="J294" s="0" t="s">
        <v>45</v>
      </c>
      <c r="K294" s="0" t="n">
        <v>5</v>
      </c>
      <c r="L294" s="0" t="n">
        <v>3</v>
      </c>
      <c r="M294" s="0" t="n">
        <v>4</v>
      </c>
      <c r="N294" s="0" t="n">
        <v>2</v>
      </c>
      <c r="O294" s="0" t="n">
        <f aca="false">SUM(K294:N294)</f>
        <v>14</v>
      </c>
      <c r="P294" s="0" t="str">
        <f aca="false">IF(O294&gt;=15,"Yes","No")</f>
        <v>No</v>
      </c>
      <c r="Q294" s="0" t="s">
        <v>60</v>
      </c>
      <c r="R294" s="2" t="n">
        <v>152000</v>
      </c>
      <c r="S294" s="3" t="n">
        <v>0.15</v>
      </c>
      <c r="T294" s="2" t="n">
        <f aca="false">R294*S294</f>
        <v>22800</v>
      </c>
      <c r="U294" s="4" t="s">
        <v>1126</v>
      </c>
    </row>
    <row r="295" customFormat="false" ht="15" hidden="false" customHeight="false" outlineLevel="0" collapsed="false">
      <c r="A295" s="0" t="s">
        <v>1127</v>
      </c>
      <c r="B295" s="0" t="s">
        <v>1128</v>
      </c>
      <c r="C295" s="0" t="s">
        <v>184</v>
      </c>
      <c r="D295" s="0" t="s">
        <v>27</v>
      </c>
      <c r="E295" s="0" t="s">
        <v>28</v>
      </c>
      <c r="F295" s="0" t="s">
        <v>130</v>
      </c>
      <c r="G295" s="0" t="s">
        <v>1129</v>
      </c>
      <c r="H295" s="0" t="s">
        <v>43</v>
      </c>
      <c r="I295" s="0" t="s">
        <v>1130</v>
      </c>
      <c r="J295" s="0" t="s">
        <v>45</v>
      </c>
      <c r="K295" s="0" t="n">
        <v>5</v>
      </c>
      <c r="L295" s="0" t="n">
        <v>2</v>
      </c>
      <c r="M295" s="0" t="n">
        <v>3</v>
      </c>
      <c r="N295" s="0" t="n">
        <v>4</v>
      </c>
      <c r="O295" s="0" t="n">
        <f aca="false">SUM(K295:N295)</f>
        <v>14</v>
      </c>
      <c r="P295" s="0" t="str">
        <f aca="false">IF(O295&gt;=15,"Yes","No")</f>
        <v>No</v>
      </c>
      <c r="Q295" s="0" t="s">
        <v>60</v>
      </c>
      <c r="R295" s="2" t="n">
        <v>234000</v>
      </c>
      <c r="S295" s="3" t="n">
        <v>0.15</v>
      </c>
      <c r="T295" s="2" t="n">
        <f aca="false">R295*S295</f>
        <v>35100</v>
      </c>
      <c r="U295" s="4" t="s">
        <v>643</v>
      </c>
    </row>
    <row r="296" customFormat="false" ht="15" hidden="false" customHeight="false" outlineLevel="0" collapsed="false">
      <c r="A296" s="0" t="s">
        <v>1131</v>
      </c>
      <c r="B296" s="0" t="s">
        <v>542</v>
      </c>
      <c r="C296" s="0" t="s">
        <v>26</v>
      </c>
      <c r="D296" s="0" t="s">
        <v>27</v>
      </c>
      <c r="E296" s="0" t="s">
        <v>84</v>
      </c>
      <c r="F296" s="0" t="s">
        <v>179</v>
      </c>
      <c r="G296" s="0" t="s">
        <v>1132</v>
      </c>
      <c r="H296" s="0" t="s">
        <v>248</v>
      </c>
      <c r="I296" s="0" t="s">
        <v>1133</v>
      </c>
      <c r="J296" s="0" t="s">
        <v>45</v>
      </c>
      <c r="K296" s="0" t="n">
        <v>3</v>
      </c>
      <c r="L296" s="0" t="n">
        <v>3</v>
      </c>
      <c r="M296" s="0" t="n">
        <v>3</v>
      </c>
      <c r="N296" s="0" t="n">
        <v>5</v>
      </c>
      <c r="O296" s="0" t="n">
        <f aca="false">SUM(K296:N296)</f>
        <v>14</v>
      </c>
      <c r="P296" s="0" t="str">
        <f aca="false">IF(O296&gt;=15,"Yes","No")</f>
        <v>No</v>
      </c>
      <c r="Q296" s="0" t="s">
        <v>159</v>
      </c>
      <c r="R296" s="2" t="n">
        <v>227000</v>
      </c>
      <c r="S296" s="3" t="n">
        <v>0.05</v>
      </c>
      <c r="T296" s="2" t="n">
        <f aca="false">R296*S296</f>
        <v>11350</v>
      </c>
      <c r="U296" s="4" t="s">
        <v>494</v>
      </c>
    </row>
    <row r="297" customFormat="false" ht="15" hidden="false" customHeight="false" outlineLevel="0" collapsed="false">
      <c r="A297" s="0" t="s">
        <v>1134</v>
      </c>
      <c r="B297" s="0" t="s">
        <v>204</v>
      </c>
      <c r="C297" s="0" t="s">
        <v>152</v>
      </c>
      <c r="D297" s="0" t="s">
        <v>27</v>
      </c>
      <c r="E297" s="0" t="s">
        <v>178</v>
      </c>
      <c r="F297" s="0" t="s">
        <v>75</v>
      </c>
      <c r="G297" s="0" t="s">
        <v>317</v>
      </c>
      <c r="H297" s="0" t="s">
        <v>67</v>
      </c>
      <c r="I297" s="0" t="s">
        <v>1135</v>
      </c>
      <c r="J297" s="0" t="s">
        <v>78</v>
      </c>
      <c r="K297" s="0" t="n">
        <v>2</v>
      </c>
      <c r="L297" s="0" t="n">
        <v>1</v>
      </c>
      <c r="M297" s="0" t="n">
        <v>1</v>
      </c>
      <c r="N297" s="0" t="n">
        <v>2</v>
      </c>
      <c r="O297" s="0" t="n">
        <f aca="false">SUM(K297:N297)</f>
        <v>6</v>
      </c>
      <c r="P297" s="0" t="str">
        <f aca="false">IF(O297&gt;=15,"Yes","No")</f>
        <v>No</v>
      </c>
      <c r="Q297" s="0" t="s">
        <v>159</v>
      </c>
      <c r="R297" s="2" t="n">
        <v>245000</v>
      </c>
      <c r="S297" s="3" t="n">
        <v>0.05</v>
      </c>
      <c r="T297" s="2" t="n">
        <f aca="false">R297*S297</f>
        <v>12250</v>
      </c>
      <c r="U297" s="4" t="s">
        <v>330</v>
      </c>
    </row>
    <row r="298" customFormat="false" ht="15" hidden="false" customHeight="false" outlineLevel="0" collapsed="false">
      <c r="A298" s="0" t="s">
        <v>1136</v>
      </c>
      <c r="B298" s="0" t="s">
        <v>574</v>
      </c>
      <c r="C298" s="0" t="s">
        <v>52</v>
      </c>
      <c r="D298" s="0" t="s">
        <v>53</v>
      </c>
      <c r="E298" s="0" t="s">
        <v>215</v>
      </c>
      <c r="F298" s="0" t="s">
        <v>41</v>
      </c>
      <c r="G298" s="0" t="s">
        <v>575</v>
      </c>
      <c r="H298" s="0" t="s">
        <v>43</v>
      </c>
      <c r="I298" s="0" t="s">
        <v>32</v>
      </c>
      <c r="J298" s="0" t="s">
        <v>78</v>
      </c>
      <c r="K298" s="0" t="n">
        <v>5</v>
      </c>
      <c r="L298" s="0" t="n">
        <v>5</v>
      </c>
      <c r="M298" s="0" t="n">
        <v>2</v>
      </c>
      <c r="N298" s="0" t="n">
        <v>3</v>
      </c>
      <c r="O298" s="0" t="n">
        <f aca="false">SUM(K298:N298)</f>
        <v>15</v>
      </c>
      <c r="P298" s="0" t="str">
        <f aca="false">IF(O298&gt;=15,"Yes","No")</f>
        <v>Yes</v>
      </c>
      <c r="Q298" s="0" t="s">
        <v>46</v>
      </c>
      <c r="R298" s="2" t="n">
        <v>585000</v>
      </c>
      <c r="S298" s="3" t="n">
        <v>0</v>
      </c>
      <c r="T298" s="2" t="n">
        <f aca="false">R298*S298</f>
        <v>0</v>
      </c>
      <c r="U298" s="4" t="s">
        <v>1044</v>
      </c>
      <c r="V298" s="4" t="s">
        <v>796</v>
      </c>
      <c r="W298" s="0" t="n">
        <v>53</v>
      </c>
      <c r="X298" s="4" t="s">
        <v>49</v>
      </c>
    </row>
    <row r="299" customFormat="false" ht="15" hidden="false" customHeight="false" outlineLevel="0" collapsed="false">
      <c r="A299" s="0" t="s">
        <v>1137</v>
      </c>
      <c r="B299" s="0" t="s">
        <v>555</v>
      </c>
      <c r="C299" s="0" t="s">
        <v>26</v>
      </c>
      <c r="D299" s="0" t="s">
        <v>53</v>
      </c>
      <c r="E299" s="0" t="s">
        <v>322</v>
      </c>
      <c r="F299" s="0" t="s">
        <v>112</v>
      </c>
      <c r="G299" s="0" t="s">
        <v>878</v>
      </c>
      <c r="H299" s="0" t="s">
        <v>57</v>
      </c>
      <c r="I299" s="0" t="s">
        <v>44</v>
      </c>
      <c r="J299" s="0" t="s">
        <v>45</v>
      </c>
      <c r="K299" s="0" t="n">
        <v>5</v>
      </c>
      <c r="L299" s="0" t="n">
        <v>2</v>
      </c>
      <c r="M299" s="0" t="n">
        <v>2</v>
      </c>
      <c r="N299" s="0" t="n">
        <v>3</v>
      </c>
      <c r="O299" s="0" t="n">
        <f aca="false">SUM(K299:N299)</f>
        <v>12</v>
      </c>
      <c r="P299" s="0" t="str">
        <f aca="false">IF(O299&gt;=15,"Yes","No")</f>
        <v>No</v>
      </c>
      <c r="Q299" s="0" t="s">
        <v>159</v>
      </c>
      <c r="R299" s="2" t="n">
        <v>607000</v>
      </c>
      <c r="S299" s="3" t="n">
        <v>0.05</v>
      </c>
      <c r="T299" s="2" t="n">
        <f aca="false">R299*S299</f>
        <v>30350</v>
      </c>
      <c r="U299" s="4" t="s">
        <v>1138</v>
      </c>
    </row>
    <row r="300" customFormat="false" ht="15" hidden="false" customHeight="false" outlineLevel="0" collapsed="false">
      <c r="A300" s="0" t="s">
        <v>1139</v>
      </c>
      <c r="B300" s="0" t="s">
        <v>1094</v>
      </c>
      <c r="C300" s="0" t="s">
        <v>26</v>
      </c>
      <c r="D300" s="0" t="s">
        <v>53</v>
      </c>
      <c r="E300" s="0" t="s">
        <v>105</v>
      </c>
      <c r="F300" s="0" t="s">
        <v>179</v>
      </c>
      <c r="G300" s="0" t="s">
        <v>1140</v>
      </c>
      <c r="H300" s="0" t="s">
        <v>31</v>
      </c>
      <c r="I300" s="0" t="s">
        <v>714</v>
      </c>
      <c r="J300" s="0" t="s">
        <v>33</v>
      </c>
      <c r="K300" s="0" t="n">
        <v>1</v>
      </c>
      <c r="L300" s="0" t="n">
        <v>2</v>
      </c>
      <c r="M300" s="0" t="n">
        <v>4</v>
      </c>
      <c r="N300" s="0" t="n">
        <v>4</v>
      </c>
      <c r="O300" s="0" t="n">
        <f aca="false">SUM(K300:N300)</f>
        <v>11</v>
      </c>
      <c r="P300" s="0" t="str">
        <f aca="false">IF(O300&gt;=15,"Yes","No")</f>
        <v>No</v>
      </c>
      <c r="Q300" s="0" t="s">
        <v>115</v>
      </c>
      <c r="R300" s="2" t="n">
        <v>711000</v>
      </c>
      <c r="S300" s="3" t="n">
        <v>0.35</v>
      </c>
      <c r="T300" s="2" t="n">
        <f aca="false">R300*S300</f>
        <v>248850</v>
      </c>
      <c r="U300" s="4" t="s">
        <v>1141</v>
      </c>
    </row>
    <row r="301" customFormat="false" ht="15" hidden="false" customHeight="false" outlineLevel="0" collapsed="false">
      <c r="A301" s="0" t="s">
        <v>1142</v>
      </c>
      <c r="B301" s="0" t="s">
        <v>959</v>
      </c>
      <c r="C301" s="0" t="s">
        <v>264</v>
      </c>
      <c r="D301" s="0" t="s">
        <v>27</v>
      </c>
      <c r="E301" s="0" t="s">
        <v>92</v>
      </c>
      <c r="F301" s="0" t="s">
        <v>130</v>
      </c>
      <c r="G301" s="0" t="s">
        <v>1143</v>
      </c>
      <c r="H301" s="0" t="s">
        <v>57</v>
      </c>
      <c r="I301" s="0" t="s">
        <v>1020</v>
      </c>
      <c r="J301" s="0" t="s">
        <v>59</v>
      </c>
      <c r="K301" s="0" t="n">
        <v>2</v>
      </c>
      <c r="L301" s="0" t="n">
        <v>3</v>
      </c>
      <c r="M301" s="0" t="n">
        <v>3</v>
      </c>
      <c r="N301" s="0" t="n">
        <v>2</v>
      </c>
      <c r="O301" s="0" t="n">
        <f aca="false">SUM(K301:N301)</f>
        <v>10</v>
      </c>
      <c r="P301" s="0" t="str">
        <f aca="false">IF(O301&gt;=15,"Yes","No")</f>
        <v>No</v>
      </c>
      <c r="Q301" s="0" t="s">
        <v>159</v>
      </c>
      <c r="R301" s="2" t="n">
        <v>171000</v>
      </c>
      <c r="S301" s="3" t="n">
        <v>0.05</v>
      </c>
      <c r="T301" s="2" t="n">
        <f aca="false">R301*S301</f>
        <v>8550</v>
      </c>
      <c r="U301" s="4" t="s">
        <v>1144</v>
      </c>
    </row>
    <row r="302" customFormat="false" ht="15" hidden="false" customHeight="false" outlineLevel="0" collapsed="false">
      <c r="A302" s="0" t="s">
        <v>1145</v>
      </c>
      <c r="B302" s="0" t="s">
        <v>609</v>
      </c>
      <c r="C302" s="0" t="s">
        <v>74</v>
      </c>
      <c r="D302" s="0" t="s">
        <v>53</v>
      </c>
      <c r="E302" s="0" t="s">
        <v>111</v>
      </c>
      <c r="F302" s="0" t="s">
        <v>29</v>
      </c>
      <c r="G302" s="0" t="s">
        <v>610</v>
      </c>
      <c r="H302" s="0" t="s">
        <v>86</v>
      </c>
      <c r="I302" s="0" t="s">
        <v>603</v>
      </c>
      <c r="J302" s="0" t="s">
        <v>33</v>
      </c>
      <c r="K302" s="0" t="n">
        <v>2</v>
      </c>
      <c r="L302" s="0" t="n">
        <v>2</v>
      </c>
      <c r="M302" s="0" t="n">
        <v>1</v>
      </c>
      <c r="N302" s="0" t="n">
        <v>1</v>
      </c>
      <c r="O302" s="0" t="n">
        <f aca="false">SUM(K302:N302)</f>
        <v>6</v>
      </c>
      <c r="P302" s="0" t="str">
        <f aca="false">IF(O302&gt;=15,"Yes","No")</f>
        <v>No</v>
      </c>
      <c r="Q302" s="0" t="s">
        <v>60</v>
      </c>
      <c r="R302" s="2" t="n">
        <v>889000</v>
      </c>
      <c r="S302" s="3" t="n">
        <v>0.15</v>
      </c>
      <c r="T302" s="2" t="n">
        <f aca="false">R302*S302</f>
        <v>133350</v>
      </c>
      <c r="U302" s="4" t="s">
        <v>175</v>
      </c>
    </row>
    <row r="303" customFormat="false" ht="15" hidden="false" customHeight="false" outlineLevel="0" collapsed="false">
      <c r="A303" s="0" t="s">
        <v>1146</v>
      </c>
      <c r="B303" s="0" t="s">
        <v>513</v>
      </c>
      <c r="C303" s="0" t="s">
        <v>52</v>
      </c>
      <c r="D303" s="0" t="s">
        <v>27</v>
      </c>
      <c r="E303" s="0" t="s">
        <v>99</v>
      </c>
      <c r="F303" s="0" t="s">
        <v>179</v>
      </c>
      <c r="G303" s="0" t="s">
        <v>100</v>
      </c>
      <c r="H303" s="0" t="s">
        <v>57</v>
      </c>
      <c r="I303" s="0" t="s">
        <v>511</v>
      </c>
      <c r="J303" s="0" t="s">
        <v>78</v>
      </c>
      <c r="K303" s="0" t="n">
        <v>4</v>
      </c>
      <c r="L303" s="0" t="n">
        <v>3</v>
      </c>
      <c r="M303" s="0" t="n">
        <v>3</v>
      </c>
      <c r="N303" s="0" t="n">
        <v>4</v>
      </c>
      <c r="O303" s="0" t="n">
        <f aca="false">SUM(K303:N303)</f>
        <v>14</v>
      </c>
      <c r="P303" s="0" t="str">
        <f aca="false">IF(O303&gt;=15,"Yes","No")</f>
        <v>No</v>
      </c>
      <c r="Q303" s="0" t="s">
        <v>46</v>
      </c>
      <c r="R303" s="2" t="n">
        <v>201000</v>
      </c>
      <c r="S303" s="3" t="n">
        <v>0</v>
      </c>
      <c r="T303" s="2" t="n">
        <f aca="false">R303*S303</f>
        <v>0</v>
      </c>
      <c r="U303" s="4" t="s">
        <v>1147</v>
      </c>
      <c r="V303" s="4" t="s">
        <v>466</v>
      </c>
      <c r="W303" s="0" t="n">
        <v>34</v>
      </c>
      <c r="X303" s="4" t="s">
        <v>49</v>
      </c>
    </row>
    <row r="304" customFormat="false" ht="15" hidden="false" customHeight="false" outlineLevel="0" collapsed="false">
      <c r="A304" s="0" t="s">
        <v>1148</v>
      </c>
      <c r="B304" s="0" t="s">
        <v>412</v>
      </c>
      <c r="C304" s="0" t="s">
        <v>74</v>
      </c>
      <c r="D304" s="0" t="s">
        <v>53</v>
      </c>
      <c r="E304" s="0" t="s">
        <v>28</v>
      </c>
      <c r="F304" s="0" t="s">
        <v>55</v>
      </c>
      <c r="G304" s="0" t="s">
        <v>762</v>
      </c>
      <c r="H304" s="0" t="s">
        <v>43</v>
      </c>
      <c r="I304" s="0" t="s">
        <v>1149</v>
      </c>
      <c r="J304" s="0" t="s">
        <v>33</v>
      </c>
      <c r="K304" s="0" t="n">
        <v>5</v>
      </c>
      <c r="L304" s="0" t="n">
        <v>5</v>
      </c>
      <c r="M304" s="0" t="n">
        <v>4</v>
      </c>
      <c r="N304" s="0" t="n">
        <v>4</v>
      </c>
      <c r="O304" s="0" t="n">
        <f aca="false">SUM(K304:N304)</f>
        <v>18</v>
      </c>
      <c r="P304" s="0" t="str">
        <f aca="false">IF(O304&gt;=15,"Yes","No")</f>
        <v>Yes</v>
      </c>
      <c r="Q304" s="0" t="s">
        <v>159</v>
      </c>
      <c r="R304" s="2" t="n">
        <v>685000</v>
      </c>
      <c r="S304" s="3" t="n">
        <v>0.05</v>
      </c>
      <c r="T304" s="2" t="n">
        <f aca="false">R304*S304</f>
        <v>34250</v>
      </c>
      <c r="U304" s="4" t="s">
        <v>1079</v>
      </c>
    </row>
    <row r="305" customFormat="false" ht="15" hidden="false" customHeight="false" outlineLevel="0" collapsed="false">
      <c r="A305" s="0" t="s">
        <v>1150</v>
      </c>
      <c r="B305" s="0" t="s">
        <v>1151</v>
      </c>
      <c r="C305" s="0" t="s">
        <v>129</v>
      </c>
      <c r="D305" s="0" t="s">
        <v>27</v>
      </c>
      <c r="E305" s="0" t="s">
        <v>136</v>
      </c>
      <c r="F305" s="0" t="s">
        <v>112</v>
      </c>
      <c r="G305" s="0" t="s">
        <v>1152</v>
      </c>
      <c r="H305" s="0" t="s">
        <v>86</v>
      </c>
      <c r="I305" s="0" t="s">
        <v>1153</v>
      </c>
      <c r="J305" s="0" t="s">
        <v>59</v>
      </c>
      <c r="K305" s="0" t="n">
        <v>2</v>
      </c>
      <c r="L305" s="0" t="n">
        <v>2</v>
      </c>
      <c r="M305" s="0" t="n">
        <v>2</v>
      </c>
      <c r="N305" s="0" t="n">
        <v>1</v>
      </c>
      <c r="O305" s="0" t="n">
        <f aca="false">SUM(K305:N305)</f>
        <v>7</v>
      </c>
      <c r="P305" s="0" t="str">
        <f aca="false">IF(O305&gt;=15,"Yes","No")</f>
        <v>No</v>
      </c>
      <c r="Q305" s="0" t="s">
        <v>34</v>
      </c>
      <c r="R305" s="2" t="n">
        <v>219000</v>
      </c>
      <c r="S305" s="3" t="n">
        <v>1</v>
      </c>
      <c r="T305" s="2" t="n">
        <f aca="false">R305*S305</f>
        <v>219000</v>
      </c>
      <c r="U305" s="4" t="s">
        <v>1154</v>
      </c>
      <c r="V305" s="4" t="s">
        <v>401</v>
      </c>
      <c r="W305" s="0" t="n">
        <v>51</v>
      </c>
    </row>
    <row r="306" customFormat="false" ht="15" hidden="false" customHeight="false" outlineLevel="0" collapsed="false">
      <c r="A306" s="0" t="s">
        <v>1155</v>
      </c>
      <c r="B306" s="0" t="s">
        <v>1156</v>
      </c>
      <c r="C306" s="0" t="s">
        <v>26</v>
      </c>
      <c r="D306" s="0" t="s">
        <v>64</v>
      </c>
      <c r="E306" s="0" t="s">
        <v>119</v>
      </c>
      <c r="F306" s="0" t="s">
        <v>179</v>
      </c>
      <c r="G306" s="0" t="s">
        <v>1157</v>
      </c>
      <c r="H306" s="0" t="s">
        <v>67</v>
      </c>
      <c r="I306" s="0" t="s">
        <v>237</v>
      </c>
      <c r="J306" s="0" t="s">
        <v>59</v>
      </c>
      <c r="K306" s="0" t="n">
        <v>4</v>
      </c>
      <c r="L306" s="0" t="n">
        <v>3</v>
      </c>
      <c r="M306" s="0" t="n">
        <v>1</v>
      </c>
      <c r="N306" s="0" t="n">
        <v>3</v>
      </c>
      <c r="O306" s="0" t="n">
        <f aca="false">SUM(K306:N306)</f>
        <v>11</v>
      </c>
      <c r="P306" s="0" t="str">
        <f aca="false">IF(O306&gt;=15,"Yes","No")</f>
        <v>No</v>
      </c>
      <c r="Q306" s="0" t="s">
        <v>60</v>
      </c>
      <c r="R306" s="2" t="n">
        <v>2386000</v>
      </c>
      <c r="S306" s="3" t="n">
        <v>0.15</v>
      </c>
      <c r="T306" s="2" t="n">
        <f aca="false">R306*S306</f>
        <v>357900</v>
      </c>
      <c r="U306" s="4" t="s">
        <v>1158</v>
      </c>
    </row>
    <row r="307" customFormat="false" ht="15" hidden="false" customHeight="false" outlineLevel="0" collapsed="false">
      <c r="A307" s="0" t="s">
        <v>1159</v>
      </c>
      <c r="B307" s="0" t="s">
        <v>1160</v>
      </c>
      <c r="C307" s="0" t="s">
        <v>26</v>
      </c>
      <c r="D307" s="0" t="s">
        <v>27</v>
      </c>
      <c r="E307" s="0" t="s">
        <v>136</v>
      </c>
      <c r="F307" s="0" t="s">
        <v>130</v>
      </c>
      <c r="G307" s="0" t="s">
        <v>253</v>
      </c>
      <c r="H307" s="0" t="s">
        <v>67</v>
      </c>
      <c r="I307" s="0" t="s">
        <v>451</v>
      </c>
      <c r="J307" s="0" t="s">
        <v>45</v>
      </c>
      <c r="K307" s="0" t="n">
        <v>3</v>
      </c>
      <c r="L307" s="0" t="n">
        <v>1</v>
      </c>
      <c r="M307" s="0" t="n">
        <v>3</v>
      </c>
      <c r="N307" s="0" t="n">
        <v>4</v>
      </c>
      <c r="O307" s="0" t="n">
        <f aca="false">SUM(K307:N307)</f>
        <v>11</v>
      </c>
      <c r="P307" s="0" t="str">
        <f aca="false">IF(O307&gt;=15,"Yes","No")</f>
        <v>No</v>
      </c>
      <c r="Q307" s="0" t="s">
        <v>60</v>
      </c>
      <c r="R307" s="2" t="n">
        <v>163000</v>
      </c>
      <c r="S307" s="3" t="n">
        <v>0.15</v>
      </c>
      <c r="T307" s="2" t="n">
        <f aca="false">R307*S307</f>
        <v>24450</v>
      </c>
      <c r="U307" s="4" t="s">
        <v>771</v>
      </c>
    </row>
    <row r="308" customFormat="false" ht="15" hidden="false" customHeight="false" outlineLevel="0" collapsed="false">
      <c r="A308" s="0" t="s">
        <v>1161</v>
      </c>
      <c r="B308" s="0" t="s">
        <v>167</v>
      </c>
      <c r="C308" s="0" t="s">
        <v>26</v>
      </c>
      <c r="D308" s="0" t="s">
        <v>27</v>
      </c>
      <c r="E308" s="0" t="s">
        <v>142</v>
      </c>
      <c r="F308" s="0" t="s">
        <v>75</v>
      </c>
      <c r="G308" s="0" t="s">
        <v>168</v>
      </c>
      <c r="H308" s="0" t="s">
        <v>67</v>
      </c>
      <c r="I308" s="0" t="s">
        <v>451</v>
      </c>
      <c r="J308" s="0" t="s">
        <v>78</v>
      </c>
      <c r="K308" s="0" t="n">
        <v>3</v>
      </c>
      <c r="L308" s="0" t="n">
        <v>1</v>
      </c>
      <c r="M308" s="0" t="n">
        <v>4</v>
      </c>
      <c r="N308" s="0" t="n">
        <v>2</v>
      </c>
      <c r="O308" s="0" t="n">
        <f aca="false">SUM(K308:N308)</f>
        <v>10</v>
      </c>
      <c r="P308" s="0" t="str">
        <f aca="false">IF(O308&gt;=15,"Yes","No")</f>
        <v>No</v>
      </c>
      <c r="Q308" s="0" t="s">
        <v>115</v>
      </c>
      <c r="R308" s="2" t="n">
        <v>213000</v>
      </c>
      <c r="S308" s="3" t="n">
        <v>0.35</v>
      </c>
      <c r="T308" s="2" t="n">
        <f aca="false">R308*S308</f>
        <v>74550</v>
      </c>
      <c r="U308" s="4" t="s">
        <v>1007</v>
      </c>
    </row>
    <row r="309" customFormat="false" ht="15" hidden="false" customHeight="false" outlineLevel="0" collapsed="false">
      <c r="A309" s="0" t="s">
        <v>1162</v>
      </c>
      <c r="B309" s="0" t="s">
        <v>63</v>
      </c>
      <c r="C309" s="0" t="s">
        <v>152</v>
      </c>
      <c r="D309" s="0" t="s">
        <v>27</v>
      </c>
      <c r="E309" s="0" t="s">
        <v>40</v>
      </c>
      <c r="F309" s="0" t="s">
        <v>29</v>
      </c>
      <c r="G309" s="0" t="s">
        <v>595</v>
      </c>
      <c r="H309" s="0" t="s">
        <v>67</v>
      </c>
      <c r="I309" s="0" t="s">
        <v>704</v>
      </c>
      <c r="J309" s="0" t="s">
        <v>45</v>
      </c>
      <c r="K309" s="0" t="n">
        <v>3</v>
      </c>
      <c r="L309" s="0" t="n">
        <v>3</v>
      </c>
      <c r="M309" s="0" t="n">
        <v>2</v>
      </c>
      <c r="N309" s="0" t="n">
        <v>3</v>
      </c>
      <c r="O309" s="0" t="n">
        <f aca="false">SUM(K309:N309)</f>
        <v>11</v>
      </c>
      <c r="P309" s="0" t="str">
        <f aca="false">IF(O309&gt;=15,"Yes","No")</f>
        <v>No</v>
      </c>
      <c r="Q309" s="0" t="s">
        <v>60</v>
      </c>
      <c r="R309" s="2" t="n">
        <v>163000</v>
      </c>
      <c r="S309" s="3" t="n">
        <v>0.15</v>
      </c>
      <c r="T309" s="2" t="n">
        <f aca="false">R309*S309</f>
        <v>24450</v>
      </c>
      <c r="U309" s="4" t="s">
        <v>1163</v>
      </c>
    </row>
    <row r="310" customFormat="false" ht="15" hidden="false" customHeight="false" outlineLevel="0" collapsed="false">
      <c r="A310" s="0" t="s">
        <v>1164</v>
      </c>
      <c r="B310" s="0" t="s">
        <v>259</v>
      </c>
      <c r="C310" s="0" t="s">
        <v>129</v>
      </c>
      <c r="D310" s="0" t="s">
        <v>27</v>
      </c>
      <c r="E310" s="0" t="s">
        <v>136</v>
      </c>
      <c r="F310" s="0" t="s">
        <v>75</v>
      </c>
      <c r="G310" s="0" t="s">
        <v>1165</v>
      </c>
      <c r="H310" s="0" t="s">
        <v>248</v>
      </c>
      <c r="I310" s="0" t="s">
        <v>144</v>
      </c>
      <c r="J310" s="0" t="s">
        <v>59</v>
      </c>
      <c r="K310" s="0" t="n">
        <v>3</v>
      </c>
      <c r="L310" s="0" t="n">
        <v>4</v>
      </c>
      <c r="M310" s="0" t="n">
        <v>3</v>
      </c>
      <c r="N310" s="0" t="n">
        <v>2</v>
      </c>
      <c r="O310" s="0" t="n">
        <f aca="false">SUM(K310:N310)</f>
        <v>12</v>
      </c>
      <c r="P310" s="0" t="str">
        <f aca="false">IF(O310&gt;=15,"Yes","No")</f>
        <v>No</v>
      </c>
      <c r="Q310" s="0" t="s">
        <v>60</v>
      </c>
      <c r="R310" s="2" t="n">
        <v>225000</v>
      </c>
      <c r="S310" s="3" t="n">
        <v>0.15</v>
      </c>
      <c r="T310" s="2" t="n">
        <f aca="false">R310*S310</f>
        <v>33750</v>
      </c>
      <c r="U310" s="4" t="s">
        <v>47</v>
      </c>
    </row>
    <row r="311" customFormat="false" ht="15" hidden="false" customHeight="false" outlineLevel="0" collapsed="false">
      <c r="A311" s="0" t="s">
        <v>1166</v>
      </c>
      <c r="B311" s="0" t="s">
        <v>305</v>
      </c>
      <c r="C311" s="0" t="s">
        <v>26</v>
      </c>
      <c r="D311" s="0" t="s">
        <v>27</v>
      </c>
      <c r="E311" s="0" t="s">
        <v>136</v>
      </c>
      <c r="F311" s="0" t="s">
        <v>112</v>
      </c>
      <c r="G311" s="0" t="s">
        <v>664</v>
      </c>
      <c r="H311" s="0" t="s">
        <v>57</v>
      </c>
      <c r="I311" s="0" t="s">
        <v>344</v>
      </c>
      <c r="J311" s="0" t="s">
        <v>78</v>
      </c>
      <c r="K311" s="0" t="n">
        <v>3</v>
      </c>
      <c r="L311" s="0" t="n">
        <v>3</v>
      </c>
      <c r="M311" s="0" t="n">
        <v>2</v>
      </c>
      <c r="N311" s="0" t="n">
        <v>3</v>
      </c>
      <c r="O311" s="0" t="n">
        <f aca="false">SUM(K311:N311)</f>
        <v>11</v>
      </c>
      <c r="P311" s="0" t="str">
        <f aca="false">IF(O311&gt;=15,"Yes","No")</f>
        <v>No</v>
      </c>
      <c r="Q311" s="0" t="s">
        <v>159</v>
      </c>
      <c r="R311" s="2" t="n">
        <v>213000</v>
      </c>
      <c r="S311" s="3" t="n">
        <v>0.05</v>
      </c>
      <c r="T311" s="2" t="n">
        <f aca="false">R311*S311</f>
        <v>10650</v>
      </c>
      <c r="U311" s="4" t="s">
        <v>1063</v>
      </c>
    </row>
    <row r="312" customFormat="false" ht="15" hidden="false" customHeight="false" outlineLevel="0" collapsed="false">
      <c r="A312" s="0" t="s">
        <v>1167</v>
      </c>
      <c r="B312" s="0" t="s">
        <v>1168</v>
      </c>
      <c r="C312" s="0" t="s">
        <v>129</v>
      </c>
      <c r="D312" s="0" t="s">
        <v>27</v>
      </c>
      <c r="E312" s="0" t="s">
        <v>119</v>
      </c>
      <c r="F312" s="0" t="s">
        <v>75</v>
      </c>
      <c r="G312" s="0" t="s">
        <v>1169</v>
      </c>
      <c r="H312" s="0" t="s">
        <v>43</v>
      </c>
      <c r="I312" s="0" t="s">
        <v>756</v>
      </c>
      <c r="J312" s="0" t="s">
        <v>45</v>
      </c>
      <c r="K312" s="0" t="n">
        <v>4</v>
      </c>
      <c r="L312" s="0" t="n">
        <v>3</v>
      </c>
      <c r="M312" s="0" t="n">
        <v>2</v>
      </c>
      <c r="N312" s="0" t="n">
        <v>4</v>
      </c>
      <c r="O312" s="0" t="n">
        <f aca="false">SUM(K312:N312)</f>
        <v>13</v>
      </c>
      <c r="P312" s="0" t="str">
        <f aca="false">IF(O312&gt;=15,"Yes","No")</f>
        <v>No</v>
      </c>
      <c r="Q312" s="0" t="s">
        <v>159</v>
      </c>
      <c r="R312" s="2" t="n">
        <v>165000</v>
      </c>
      <c r="S312" s="3" t="n">
        <v>0.05</v>
      </c>
      <c r="T312" s="2" t="n">
        <f aca="false">R312*S312</f>
        <v>8250</v>
      </c>
      <c r="U312" s="4" t="s">
        <v>1126</v>
      </c>
    </row>
    <row r="313" customFormat="false" ht="15" hidden="false" customHeight="false" outlineLevel="0" collapsed="false">
      <c r="A313" s="0" t="s">
        <v>1170</v>
      </c>
      <c r="B313" s="0" t="s">
        <v>458</v>
      </c>
      <c r="C313" s="0" t="s">
        <v>74</v>
      </c>
      <c r="D313" s="0" t="s">
        <v>27</v>
      </c>
      <c r="E313" s="0" t="s">
        <v>215</v>
      </c>
      <c r="F313" s="0" t="s">
        <v>153</v>
      </c>
      <c r="G313" s="0" t="s">
        <v>799</v>
      </c>
      <c r="H313" s="0" t="s">
        <v>57</v>
      </c>
      <c r="I313" s="0" t="s">
        <v>35</v>
      </c>
      <c r="J313" s="0" t="s">
        <v>33</v>
      </c>
      <c r="K313" s="0" t="n">
        <v>1</v>
      </c>
      <c r="L313" s="0" t="n">
        <v>3</v>
      </c>
      <c r="M313" s="0" t="n">
        <v>1</v>
      </c>
      <c r="N313" s="0" t="n">
        <v>1</v>
      </c>
      <c r="O313" s="0" t="n">
        <f aca="false">SUM(K313:N313)</f>
        <v>6</v>
      </c>
      <c r="P313" s="0" t="str">
        <f aca="false">IF(O313&gt;=15,"Yes","No")</f>
        <v>No</v>
      </c>
      <c r="Q313" s="0" t="s">
        <v>159</v>
      </c>
      <c r="R313" s="2" t="n">
        <v>224000</v>
      </c>
      <c r="S313" s="3" t="n">
        <v>0.05</v>
      </c>
      <c r="T313" s="2" t="n">
        <f aca="false">R313*S313</f>
        <v>11200</v>
      </c>
      <c r="U313" s="4" t="s">
        <v>1171</v>
      </c>
    </row>
    <row r="314" customFormat="false" ht="15" hidden="false" customHeight="false" outlineLevel="0" collapsed="false">
      <c r="A314" s="0" t="s">
        <v>1172</v>
      </c>
      <c r="B314" s="0" t="s">
        <v>381</v>
      </c>
      <c r="C314" s="0" t="s">
        <v>26</v>
      </c>
      <c r="D314" s="0" t="s">
        <v>27</v>
      </c>
      <c r="E314" s="0" t="s">
        <v>105</v>
      </c>
      <c r="F314" s="0" t="s">
        <v>29</v>
      </c>
      <c r="G314" s="0" t="s">
        <v>1173</v>
      </c>
      <c r="H314" s="0" t="s">
        <v>67</v>
      </c>
      <c r="I314" s="0" t="s">
        <v>821</v>
      </c>
      <c r="J314" s="0" t="s">
        <v>69</v>
      </c>
      <c r="K314" s="0" t="n">
        <v>4</v>
      </c>
      <c r="L314" s="0" t="n">
        <v>2</v>
      </c>
      <c r="M314" s="0" t="n">
        <v>3</v>
      </c>
      <c r="N314" s="0" t="n">
        <v>2</v>
      </c>
      <c r="O314" s="0" t="n">
        <f aca="false">SUM(K314:N314)</f>
        <v>11</v>
      </c>
      <c r="P314" s="0" t="str">
        <f aca="false">IF(O314&gt;=15,"Yes","No")</f>
        <v>No</v>
      </c>
      <c r="Q314" s="0" t="s">
        <v>159</v>
      </c>
      <c r="R314" s="2" t="n">
        <v>194000</v>
      </c>
      <c r="S314" s="3" t="n">
        <v>0.05</v>
      </c>
      <c r="T314" s="2" t="n">
        <f aca="false">R314*S314</f>
        <v>9700</v>
      </c>
      <c r="U314" s="4" t="s">
        <v>466</v>
      </c>
    </row>
    <row r="315" customFormat="false" ht="15" hidden="false" customHeight="false" outlineLevel="0" collapsed="false">
      <c r="A315" s="0" t="s">
        <v>1174</v>
      </c>
      <c r="B315" s="0" t="s">
        <v>1175</v>
      </c>
      <c r="C315" s="0" t="s">
        <v>74</v>
      </c>
      <c r="D315" s="0" t="s">
        <v>27</v>
      </c>
      <c r="E315" s="0" t="s">
        <v>92</v>
      </c>
      <c r="F315" s="0" t="s">
        <v>130</v>
      </c>
      <c r="G315" s="0" t="s">
        <v>1176</v>
      </c>
      <c r="H315" s="0" t="s">
        <v>43</v>
      </c>
      <c r="I315" s="0" t="s">
        <v>689</v>
      </c>
      <c r="J315" s="0" t="s">
        <v>59</v>
      </c>
      <c r="K315" s="0" t="n">
        <v>2</v>
      </c>
      <c r="L315" s="0" t="n">
        <v>3</v>
      </c>
      <c r="M315" s="0" t="n">
        <v>3</v>
      </c>
      <c r="N315" s="0" t="n">
        <v>4</v>
      </c>
      <c r="O315" s="0" t="n">
        <f aca="false">SUM(K315:N315)</f>
        <v>12</v>
      </c>
      <c r="P315" s="0" t="str">
        <f aca="false">IF(O315&gt;=15,"Yes","No")</f>
        <v>No</v>
      </c>
      <c r="Q315" s="0" t="s">
        <v>34</v>
      </c>
      <c r="R315" s="2" t="n">
        <v>173000</v>
      </c>
      <c r="S315" s="3" t="n">
        <v>1</v>
      </c>
      <c r="T315" s="2" t="n">
        <f aca="false">R315*S315</f>
        <v>173000</v>
      </c>
      <c r="U315" s="4" t="s">
        <v>467</v>
      </c>
      <c r="V315" s="4" t="s">
        <v>1177</v>
      </c>
      <c r="W315" s="0" t="n">
        <v>29</v>
      </c>
    </row>
    <row r="316" customFormat="false" ht="15" hidden="false" customHeight="false" outlineLevel="0" collapsed="false">
      <c r="A316" s="0" t="s">
        <v>1178</v>
      </c>
      <c r="B316" s="0" t="s">
        <v>517</v>
      </c>
      <c r="C316" s="0" t="s">
        <v>39</v>
      </c>
      <c r="D316" s="0" t="s">
        <v>27</v>
      </c>
      <c r="E316" s="0" t="s">
        <v>92</v>
      </c>
      <c r="F316" s="0" t="s">
        <v>153</v>
      </c>
      <c r="G316" s="0" t="s">
        <v>732</v>
      </c>
      <c r="H316" s="0" t="s">
        <v>43</v>
      </c>
      <c r="I316" s="0" t="s">
        <v>527</v>
      </c>
      <c r="J316" s="0" t="s">
        <v>59</v>
      </c>
      <c r="K316" s="0" t="n">
        <v>3</v>
      </c>
      <c r="L316" s="0" t="n">
        <v>4</v>
      </c>
      <c r="M316" s="0" t="n">
        <v>2</v>
      </c>
      <c r="N316" s="0" t="n">
        <v>4</v>
      </c>
      <c r="O316" s="0" t="n">
        <f aca="false">SUM(K316:N316)</f>
        <v>13</v>
      </c>
      <c r="P316" s="0" t="str">
        <f aca="false">IF(O316&gt;=15,"Yes","No")</f>
        <v>No</v>
      </c>
      <c r="Q316" s="0" t="s">
        <v>115</v>
      </c>
      <c r="R316" s="2" t="n">
        <v>143000</v>
      </c>
      <c r="S316" s="3" t="n">
        <v>0.35</v>
      </c>
      <c r="T316" s="2" t="n">
        <f aca="false">R316*S316</f>
        <v>50050</v>
      </c>
      <c r="U316" s="4" t="s">
        <v>490</v>
      </c>
    </row>
    <row r="317" customFormat="false" ht="15" hidden="false" customHeight="false" outlineLevel="0" collapsed="false">
      <c r="A317" s="0" t="s">
        <v>1179</v>
      </c>
      <c r="B317" s="0" t="s">
        <v>263</v>
      </c>
      <c r="C317" s="0" t="s">
        <v>129</v>
      </c>
      <c r="D317" s="0" t="s">
        <v>27</v>
      </c>
      <c r="E317" s="0" t="s">
        <v>105</v>
      </c>
      <c r="F317" s="0" t="s">
        <v>55</v>
      </c>
      <c r="G317" s="0" t="s">
        <v>205</v>
      </c>
      <c r="H317" s="0" t="s">
        <v>67</v>
      </c>
      <c r="I317" s="0" t="s">
        <v>371</v>
      </c>
      <c r="J317" s="0" t="s">
        <v>45</v>
      </c>
      <c r="K317" s="0" t="n">
        <v>3</v>
      </c>
      <c r="L317" s="0" t="n">
        <v>2</v>
      </c>
      <c r="M317" s="0" t="n">
        <v>4</v>
      </c>
      <c r="N317" s="0" t="n">
        <v>4</v>
      </c>
      <c r="O317" s="0" t="n">
        <f aca="false">SUM(K317:N317)</f>
        <v>13</v>
      </c>
      <c r="P317" s="0" t="str">
        <f aca="false">IF(O317&gt;=15,"Yes","No")</f>
        <v>No</v>
      </c>
      <c r="Q317" s="0" t="s">
        <v>46</v>
      </c>
      <c r="R317" s="2" t="n">
        <v>192000</v>
      </c>
      <c r="S317" s="3" t="n">
        <v>0</v>
      </c>
      <c r="T317" s="2" t="n">
        <f aca="false">R317*S317</f>
        <v>0</v>
      </c>
      <c r="U317" s="4" t="s">
        <v>831</v>
      </c>
      <c r="V317" s="4" t="s">
        <v>1153</v>
      </c>
      <c r="W317" s="0" t="n">
        <v>24</v>
      </c>
      <c r="X317" s="4" t="s">
        <v>326</v>
      </c>
    </row>
    <row r="318" customFormat="false" ht="15" hidden="false" customHeight="false" outlineLevel="0" collapsed="false">
      <c r="A318" s="0" t="s">
        <v>1180</v>
      </c>
      <c r="B318" s="0" t="s">
        <v>1046</v>
      </c>
      <c r="C318" s="0" t="s">
        <v>39</v>
      </c>
      <c r="D318" s="0" t="s">
        <v>64</v>
      </c>
      <c r="E318" s="0" t="s">
        <v>28</v>
      </c>
      <c r="F318" s="0" t="s">
        <v>41</v>
      </c>
      <c r="G318" s="0" t="s">
        <v>1181</v>
      </c>
      <c r="H318" s="0" t="s">
        <v>43</v>
      </c>
      <c r="I318" s="0" t="s">
        <v>218</v>
      </c>
      <c r="J318" s="0" t="s">
        <v>45</v>
      </c>
      <c r="K318" s="0" t="n">
        <v>4</v>
      </c>
      <c r="L318" s="0" t="n">
        <v>3</v>
      </c>
      <c r="M318" s="0" t="n">
        <v>3</v>
      </c>
      <c r="N318" s="0" t="n">
        <v>4</v>
      </c>
      <c r="O318" s="0" t="n">
        <f aca="false">SUM(K318:N318)</f>
        <v>14</v>
      </c>
      <c r="P318" s="0" t="str">
        <f aca="false">IF(O318&gt;=15,"Yes","No")</f>
        <v>No</v>
      </c>
      <c r="Q318" s="0" t="s">
        <v>60</v>
      </c>
      <c r="R318" s="2" t="n">
        <v>2996000</v>
      </c>
      <c r="S318" s="3" t="n">
        <v>0.15</v>
      </c>
      <c r="T318" s="2" t="n">
        <f aca="false">R318*S318</f>
        <v>449400</v>
      </c>
      <c r="U318" s="4" t="s">
        <v>725</v>
      </c>
    </row>
    <row r="319" customFormat="false" ht="15" hidden="false" customHeight="false" outlineLevel="0" collapsed="false">
      <c r="A319" s="0" t="s">
        <v>1182</v>
      </c>
      <c r="B319" s="0" t="s">
        <v>274</v>
      </c>
      <c r="C319" s="0" t="s">
        <v>129</v>
      </c>
      <c r="D319" s="0" t="s">
        <v>27</v>
      </c>
      <c r="E319" s="0" t="s">
        <v>28</v>
      </c>
      <c r="F319" s="0" t="s">
        <v>29</v>
      </c>
      <c r="G319" s="0" t="s">
        <v>939</v>
      </c>
      <c r="H319" s="0" t="s">
        <v>57</v>
      </c>
      <c r="I319" s="0" t="s">
        <v>562</v>
      </c>
      <c r="J319" s="0" t="s">
        <v>59</v>
      </c>
      <c r="K319" s="0" t="n">
        <v>4</v>
      </c>
      <c r="L319" s="0" t="n">
        <v>1</v>
      </c>
      <c r="M319" s="0" t="n">
        <v>1</v>
      </c>
      <c r="N319" s="0" t="n">
        <v>1</v>
      </c>
      <c r="O319" s="0" t="n">
        <f aca="false">SUM(K319:N319)</f>
        <v>7</v>
      </c>
      <c r="P319" s="0" t="str">
        <f aca="false">IF(O319&gt;=15,"Yes","No")</f>
        <v>No</v>
      </c>
      <c r="Q319" s="0" t="s">
        <v>159</v>
      </c>
      <c r="R319" s="2" t="n">
        <v>136000</v>
      </c>
      <c r="S319" s="3" t="n">
        <v>0.05</v>
      </c>
      <c r="T319" s="2" t="n">
        <f aca="false">R319*S319</f>
        <v>6800</v>
      </c>
      <c r="U319" s="4" t="s">
        <v>233</v>
      </c>
    </row>
    <row r="320" customFormat="false" ht="15" hidden="false" customHeight="false" outlineLevel="0" collapsed="false">
      <c r="A320" s="0" t="s">
        <v>1183</v>
      </c>
      <c r="B320" s="0" t="s">
        <v>128</v>
      </c>
      <c r="C320" s="0" t="s">
        <v>26</v>
      </c>
      <c r="D320" s="0" t="s">
        <v>27</v>
      </c>
      <c r="E320" s="0" t="s">
        <v>40</v>
      </c>
      <c r="F320" s="0" t="s">
        <v>130</v>
      </c>
      <c r="G320" s="0" t="s">
        <v>1184</v>
      </c>
      <c r="H320" s="0" t="s">
        <v>31</v>
      </c>
      <c r="I320" s="0" t="s">
        <v>1185</v>
      </c>
      <c r="J320" s="0" t="s">
        <v>78</v>
      </c>
      <c r="K320" s="0" t="n">
        <v>3</v>
      </c>
      <c r="L320" s="0" t="n">
        <v>4</v>
      </c>
      <c r="M320" s="0" t="n">
        <v>3</v>
      </c>
      <c r="N320" s="0" t="n">
        <v>2</v>
      </c>
      <c r="O320" s="0" t="n">
        <f aca="false">SUM(K320:N320)</f>
        <v>12</v>
      </c>
      <c r="P320" s="0" t="str">
        <f aca="false">IF(O320&gt;=15,"Yes","No")</f>
        <v>No</v>
      </c>
      <c r="Q320" s="0" t="s">
        <v>60</v>
      </c>
      <c r="R320" s="2" t="n">
        <v>157000</v>
      </c>
      <c r="S320" s="3" t="n">
        <v>0.15</v>
      </c>
      <c r="T320" s="2" t="n">
        <f aca="false">R320*S320</f>
        <v>23550</v>
      </c>
      <c r="U320" s="4" t="s">
        <v>446</v>
      </c>
    </row>
    <row r="321" customFormat="false" ht="15" hidden="false" customHeight="false" outlineLevel="0" collapsed="false">
      <c r="A321" s="0" t="s">
        <v>1186</v>
      </c>
      <c r="B321" s="0" t="s">
        <v>200</v>
      </c>
      <c r="C321" s="0" t="s">
        <v>74</v>
      </c>
      <c r="D321" s="0" t="s">
        <v>27</v>
      </c>
      <c r="E321" s="0" t="s">
        <v>40</v>
      </c>
      <c r="F321" s="0" t="s">
        <v>41</v>
      </c>
      <c r="G321" s="0" t="s">
        <v>429</v>
      </c>
      <c r="H321" s="0" t="s">
        <v>43</v>
      </c>
      <c r="I321" s="0" t="s">
        <v>1187</v>
      </c>
      <c r="J321" s="0" t="s">
        <v>69</v>
      </c>
      <c r="K321" s="0" t="n">
        <v>3</v>
      </c>
      <c r="L321" s="0" t="n">
        <v>3</v>
      </c>
      <c r="M321" s="0" t="n">
        <v>5</v>
      </c>
      <c r="N321" s="0" t="n">
        <v>3</v>
      </c>
      <c r="O321" s="0" t="n">
        <f aca="false">SUM(K321:N321)</f>
        <v>14</v>
      </c>
      <c r="P321" s="0" t="str">
        <f aca="false">IF(O321&gt;=15,"Yes","No")</f>
        <v>No</v>
      </c>
      <c r="Q321" s="0" t="s">
        <v>115</v>
      </c>
      <c r="R321" s="2" t="n">
        <v>139000</v>
      </c>
      <c r="S321" s="3" t="n">
        <v>0.35</v>
      </c>
      <c r="T321" s="2" t="n">
        <f aca="false">R321*S321</f>
        <v>48650</v>
      </c>
      <c r="U321" s="4" t="s">
        <v>978</v>
      </c>
    </row>
    <row r="322" customFormat="false" ht="15" hidden="false" customHeight="false" outlineLevel="0" collapsed="false">
      <c r="A322" s="0" t="s">
        <v>1188</v>
      </c>
      <c r="B322" s="0" t="s">
        <v>750</v>
      </c>
      <c r="C322" s="0" t="s">
        <v>74</v>
      </c>
      <c r="D322" s="0" t="s">
        <v>53</v>
      </c>
      <c r="E322" s="0" t="s">
        <v>111</v>
      </c>
      <c r="F322" s="0" t="s">
        <v>75</v>
      </c>
      <c r="G322" s="0" t="s">
        <v>564</v>
      </c>
      <c r="H322" s="0" t="s">
        <v>67</v>
      </c>
      <c r="I322" s="0" t="s">
        <v>515</v>
      </c>
      <c r="J322" s="0" t="s">
        <v>59</v>
      </c>
      <c r="K322" s="0" t="n">
        <v>4</v>
      </c>
      <c r="L322" s="0" t="n">
        <v>3</v>
      </c>
      <c r="M322" s="0" t="n">
        <v>2</v>
      </c>
      <c r="N322" s="0" t="n">
        <v>3</v>
      </c>
      <c r="O322" s="0" t="n">
        <f aca="false">SUM(K322:N322)</f>
        <v>12</v>
      </c>
      <c r="P322" s="0" t="str">
        <f aca="false">IF(O322&gt;=15,"Yes","No")</f>
        <v>No</v>
      </c>
      <c r="Q322" s="0" t="s">
        <v>115</v>
      </c>
      <c r="R322" s="2" t="n">
        <v>823000</v>
      </c>
      <c r="S322" s="3" t="n">
        <v>0.35</v>
      </c>
      <c r="T322" s="2" t="n">
        <f aca="false">R322*S322</f>
        <v>288050</v>
      </c>
      <c r="U322" s="4" t="s">
        <v>139</v>
      </c>
    </row>
    <row r="323" customFormat="false" ht="15" hidden="false" customHeight="false" outlineLevel="0" collapsed="false">
      <c r="A323" s="0" t="s">
        <v>1189</v>
      </c>
      <c r="B323" s="0" t="s">
        <v>1190</v>
      </c>
      <c r="C323" s="0" t="s">
        <v>39</v>
      </c>
      <c r="D323" s="0" t="s">
        <v>53</v>
      </c>
      <c r="E323" s="0" t="s">
        <v>178</v>
      </c>
      <c r="F323" s="0" t="s">
        <v>75</v>
      </c>
      <c r="G323" s="0" t="s">
        <v>1191</v>
      </c>
      <c r="H323" s="0" t="s">
        <v>86</v>
      </c>
      <c r="I323" s="0" t="s">
        <v>1002</v>
      </c>
      <c r="J323" s="0" t="s">
        <v>69</v>
      </c>
      <c r="K323" s="0" t="n">
        <v>2</v>
      </c>
      <c r="L323" s="0" t="n">
        <v>2</v>
      </c>
      <c r="M323" s="0" t="n">
        <v>1</v>
      </c>
      <c r="N323" s="0" t="n">
        <v>1</v>
      </c>
      <c r="O323" s="0" t="n">
        <f aca="false">SUM(K323:N323)</f>
        <v>6</v>
      </c>
      <c r="P323" s="0" t="str">
        <f aca="false">IF(O323&gt;=15,"Yes","No")</f>
        <v>No</v>
      </c>
      <c r="Q323" s="0" t="s">
        <v>60</v>
      </c>
      <c r="R323" s="2" t="n">
        <v>511000</v>
      </c>
      <c r="S323" s="3" t="n">
        <v>0.15</v>
      </c>
      <c r="T323" s="2" t="n">
        <f aca="false">R323*S323</f>
        <v>76650</v>
      </c>
      <c r="U323" s="4" t="s">
        <v>565</v>
      </c>
    </row>
    <row r="324" customFormat="false" ht="15" hidden="false" customHeight="false" outlineLevel="0" collapsed="false">
      <c r="A324" s="0" t="s">
        <v>1192</v>
      </c>
      <c r="B324" s="0" t="s">
        <v>525</v>
      </c>
      <c r="C324" s="0" t="s">
        <v>26</v>
      </c>
      <c r="D324" s="0" t="s">
        <v>27</v>
      </c>
      <c r="E324" s="0" t="s">
        <v>178</v>
      </c>
      <c r="F324" s="0" t="s">
        <v>179</v>
      </c>
      <c r="G324" s="0" t="s">
        <v>526</v>
      </c>
      <c r="H324" s="0" t="s">
        <v>248</v>
      </c>
      <c r="I324" s="0" t="s">
        <v>587</v>
      </c>
      <c r="J324" s="0" t="s">
        <v>45</v>
      </c>
      <c r="K324" s="0" t="n">
        <v>2</v>
      </c>
      <c r="L324" s="0" t="n">
        <v>3</v>
      </c>
      <c r="M324" s="0" t="n">
        <v>2</v>
      </c>
      <c r="N324" s="0" t="n">
        <v>3</v>
      </c>
      <c r="O324" s="0" t="n">
        <f aca="false">SUM(K324:N324)</f>
        <v>10</v>
      </c>
      <c r="P324" s="0" t="str">
        <f aca="false">IF(O324&gt;=15,"Yes","No")</f>
        <v>No</v>
      </c>
      <c r="Q324" s="0" t="s">
        <v>60</v>
      </c>
      <c r="R324" s="2" t="n">
        <v>188000</v>
      </c>
      <c r="S324" s="3" t="n">
        <v>0.15</v>
      </c>
      <c r="T324" s="2" t="n">
        <f aca="false">R324*S324</f>
        <v>28200</v>
      </c>
      <c r="U324" s="4" t="s">
        <v>132</v>
      </c>
    </row>
    <row r="325" customFormat="false" ht="15" hidden="false" customHeight="false" outlineLevel="0" collapsed="false">
      <c r="A325" s="0" t="s">
        <v>1193</v>
      </c>
      <c r="B325" s="0" t="s">
        <v>277</v>
      </c>
      <c r="C325" s="0" t="s">
        <v>129</v>
      </c>
      <c r="D325" s="0" t="s">
        <v>27</v>
      </c>
      <c r="E325" s="0" t="s">
        <v>178</v>
      </c>
      <c r="F325" s="0" t="s">
        <v>153</v>
      </c>
      <c r="G325" s="0" t="s">
        <v>1194</v>
      </c>
      <c r="H325" s="0" t="s">
        <v>43</v>
      </c>
      <c r="I325" s="0" t="s">
        <v>95</v>
      </c>
      <c r="J325" s="0" t="s">
        <v>78</v>
      </c>
      <c r="K325" s="0" t="n">
        <v>3</v>
      </c>
      <c r="L325" s="0" t="n">
        <v>4</v>
      </c>
      <c r="M325" s="0" t="n">
        <v>4</v>
      </c>
      <c r="N325" s="0" t="n">
        <v>1</v>
      </c>
      <c r="O325" s="0" t="n">
        <f aca="false">SUM(K325:N325)</f>
        <v>12</v>
      </c>
      <c r="P325" s="0" t="str">
        <f aca="false">IF(O325&gt;=15,"Yes","No")</f>
        <v>No</v>
      </c>
      <c r="Q325" s="0" t="s">
        <v>159</v>
      </c>
      <c r="R325" s="2" t="n">
        <v>179000</v>
      </c>
      <c r="S325" s="3" t="n">
        <v>0.05</v>
      </c>
      <c r="T325" s="2" t="n">
        <f aca="false">R325*S325</f>
        <v>8950</v>
      </c>
      <c r="U325" s="4" t="s">
        <v>227</v>
      </c>
    </row>
    <row r="326" customFormat="false" ht="15" hidden="false" customHeight="false" outlineLevel="0" collapsed="false">
      <c r="A326" s="0" t="s">
        <v>1195</v>
      </c>
      <c r="B326" s="0" t="s">
        <v>1022</v>
      </c>
      <c r="C326" s="0" t="s">
        <v>129</v>
      </c>
      <c r="D326" s="0" t="s">
        <v>53</v>
      </c>
      <c r="E326" s="0" t="s">
        <v>40</v>
      </c>
      <c r="F326" s="0" t="s">
        <v>153</v>
      </c>
      <c r="G326" s="0" t="s">
        <v>1196</v>
      </c>
      <c r="H326" s="0" t="s">
        <v>86</v>
      </c>
      <c r="I326" s="0" t="s">
        <v>1197</v>
      </c>
      <c r="J326" s="0" t="s">
        <v>33</v>
      </c>
      <c r="K326" s="0" t="n">
        <v>1</v>
      </c>
      <c r="L326" s="0" t="n">
        <v>2</v>
      </c>
      <c r="M326" s="0" t="n">
        <v>1</v>
      </c>
      <c r="N326" s="0" t="n">
        <v>4</v>
      </c>
      <c r="O326" s="0" t="n">
        <f aca="false">SUM(K326:N326)</f>
        <v>8</v>
      </c>
      <c r="P326" s="0" t="str">
        <f aca="false">IF(O326&gt;=15,"Yes","No")</f>
        <v>No</v>
      </c>
      <c r="Q326" s="0" t="s">
        <v>115</v>
      </c>
      <c r="R326" s="2" t="n">
        <v>554000</v>
      </c>
      <c r="S326" s="3" t="n">
        <v>0.35</v>
      </c>
      <c r="T326" s="2" t="n">
        <f aca="false">R326*S326</f>
        <v>193900</v>
      </c>
      <c r="U326" s="4" t="s">
        <v>1198</v>
      </c>
    </row>
    <row r="327" customFormat="false" ht="15" hidden="false" customHeight="false" outlineLevel="0" collapsed="false">
      <c r="A327" s="0" t="s">
        <v>1199</v>
      </c>
      <c r="B327" s="0" t="s">
        <v>73</v>
      </c>
      <c r="C327" s="0" t="s">
        <v>74</v>
      </c>
      <c r="D327" s="0" t="s">
        <v>27</v>
      </c>
      <c r="E327" s="0" t="s">
        <v>54</v>
      </c>
      <c r="F327" s="0" t="s">
        <v>55</v>
      </c>
      <c r="G327" s="0" t="s">
        <v>423</v>
      </c>
      <c r="H327" s="0" t="s">
        <v>86</v>
      </c>
      <c r="I327" s="0" t="s">
        <v>596</v>
      </c>
      <c r="J327" s="0" t="s">
        <v>59</v>
      </c>
      <c r="K327" s="0" t="n">
        <v>3</v>
      </c>
      <c r="L327" s="0" t="n">
        <v>3</v>
      </c>
      <c r="M327" s="0" t="n">
        <v>3</v>
      </c>
      <c r="N327" s="0" t="n">
        <v>2</v>
      </c>
      <c r="O327" s="0" t="n">
        <f aca="false">SUM(K327:N327)</f>
        <v>11</v>
      </c>
      <c r="P327" s="0" t="str">
        <f aca="false">IF(O327&gt;=15,"Yes","No")</f>
        <v>No</v>
      </c>
      <c r="Q327" s="0" t="s">
        <v>46</v>
      </c>
      <c r="R327" s="2" t="n">
        <v>214000</v>
      </c>
      <c r="S327" s="3" t="n">
        <v>0</v>
      </c>
      <c r="T327" s="2" t="n">
        <f aca="false">R327*S327</f>
        <v>0</v>
      </c>
      <c r="U327" s="4" t="s">
        <v>461</v>
      </c>
      <c r="V327" s="4" t="s">
        <v>255</v>
      </c>
      <c r="W327" s="0" t="n">
        <v>34</v>
      </c>
      <c r="X327" s="4" t="s">
        <v>49</v>
      </c>
    </row>
    <row r="328" customFormat="false" ht="15" hidden="false" customHeight="false" outlineLevel="0" collapsed="false">
      <c r="A328" s="0" t="s">
        <v>1200</v>
      </c>
      <c r="B328" s="0" t="s">
        <v>1036</v>
      </c>
      <c r="C328" s="0" t="s">
        <v>184</v>
      </c>
      <c r="D328" s="0" t="s">
        <v>27</v>
      </c>
      <c r="E328" s="0" t="s">
        <v>65</v>
      </c>
      <c r="F328" s="0" t="s">
        <v>55</v>
      </c>
      <c r="G328" s="0" t="s">
        <v>632</v>
      </c>
      <c r="H328" s="0" t="s">
        <v>86</v>
      </c>
      <c r="I328" s="0" t="s">
        <v>1201</v>
      </c>
      <c r="J328" s="0" t="s">
        <v>69</v>
      </c>
      <c r="K328" s="0" t="n">
        <v>1</v>
      </c>
      <c r="L328" s="0" t="n">
        <v>3</v>
      </c>
      <c r="M328" s="0" t="n">
        <v>1</v>
      </c>
      <c r="N328" s="0" t="n">
        <v>2</v>
      </c>
      <c r="O328" s="0" t="n">
        <f aca="false">SUM(K328:N328)</f>
        <v>7</v>
      </c>
      <c r="P328" s="0" t="str">
        <f aca="false">IF(O328&gt;=15,"Yes","No")</f>
        <v>No</v>
      </c>
      <c r="Q328" s="0" t="s">
        <v>60</v>
      </c>
      <c r="R328" s="2" t="n">
        <v>168000</v>
      </c>
      <c r="S328" s="3" t="n">
        <v>0.15</v>
      </c>
      <c r="T328" s="2" t="n">
        <f aca="false">R328*S328</f>
        <v>25200</v>
      </c>
      <c r="U328" s="4" t="s">
        <v>495</v>
      </c>
    </row>
    <row r="329" customFormat="false" ht="15" hidden="false" customHeight="false" outlineLevel="0" collapsed="false">
      <c r="A329" s="0" t="s">
        <v>1202</v>
      </c>
      <c r="B329" s="0" t="s">
        <v>655</v>
      </c>
      <c r="C329" s="0" t="s">
        <v>26</v>
      </c>
      <c r="D329" s="0" t="s">
        <v>53</v>
      </c>
      <c r="E329" s="0" t="s">
        <v>99</v>
      </c>
      <c r="F329" s="0" t="s">
        <v>55</v>
      </c>
      <c r="G329" s="0" t="s">
        <v>1203</v>
      </c>
      <c r="H329" s="0" t="s">
        <v>57</v>
      </c>
      <c r="I329" s="0" t="s">
        <v>94</v>
      </c>
      <c r="J329" s="0" t="s">
        <v>45</v>
      </c>
      <c r="K329" s="0" t="n">
        <v>2</v>
      </c>
      <c r="L329" s="0" t="n">
        <v>2</v>
      </c>
      <c r="M329" s="0" t="n">
        <v>2</v>
      </c>
      <c r="N329" s="0" t="n">
        <v>2</v>
      </c>
      <c r="O329" s="0" t="n">
        <f aca="false">SUM(K329:N329)</f>
        <v>8</v>
      </c>
      <c r="P329" s="0" t="str">
        <f aca="false">IF(O329&gt;=15,"Yes","No")</f>
        <v>No</v>
      </c>
      <c r="Q329" s="0" t="s">
        <v>70</v>
      </c>
      <c r="R329" s="2" t="n">
        <v>838000</v>
      </c>
      <c r="S329" s="3" t="n">
        <v>0.55</v>
      </c>
      <c r="T329" s="2" t="n">
        <f aca="false">R329*S329</f>
        <v>460900</v>
      </c>
      <c r="U329" s="4" t="s">
        <v>714</v>
      </c>
    </row>
    <row r="330" customFormat="false" ht="15" hidden="false" customHeight="false" outlineLevel="0" collapsed="false">
      <c r="A330" s="0" t="s">
        <v>1204</v>
      </c>
      <c r="B330" s="0" t="s">
        <v>846</v>
      </c>
      <c r="C330" s="0" t="s">
        <v>26</v>
      </c>
      <c r="D330" s="0" t="s">
        <v>27</v>
      </c>
      <c r="E330" s="0" t="s">
        <v>195</v>
      </c>
      <c r="F330" s="0" t="s">
        <v>55</v>
      </c>
      <c r="G330" s="0" t="s">
        <v>196</v>
      </c>
      <c r="H330" s="0" t="s">
        <v>57</v>
      </c>
      <c r="I330" s="0" t="s">
        <v>924</v>
      </c>
      <c r="J330" s="0" t="s">
        <v>69</v>
      </c>
      <c r="K330" s="0" t="n">
        <v>2</v>
      </c>
      <c r="L330" s="0" t="n">
        <v>3</v>
      </c>
      <c r="M330" s="0" t="n">
        <v>1</v>
      </c>
      <c r="N330" s="0" t="n">
        <v>1</v>
      </c>
      <c r="O330" s="0" t="n">
        <f aca="false">SUM(K330:N330)</f>
        <v>7</v>
      </c>
      <c r="P330" s="0" t="str">
        <f aca="false">IF(O330&gt;=15,"Yes","No")</f>
        <v>No</v>
      </c>
      <c r="Q330" s="0" t="s">
        <v>159</v>
      </c>
      <c r="R330" s="2" t="n">
        <v>206000</v>
      </c>
      <c r="S330" s="3" t="n">
        <v>0.05</v>
      </c>
      <c r="T330" s="2" t="n">
        <f aca="false">R330*S330</f>
        <v>10300</v>
      </c>
      <c r="U330" s="4" t="s">
        <v>289</v>
      </c>
    </row>
    <row r="331" customFormat="false" ht="15" hidden="false" customHeight="false" outlineLevel="0" collapsed="false">
      <c r="A331" s="0" t="s">
        <v>1205</v>
      </c>
      <c r="B331" s="0" t="s">
        <v>551</v>
      </c>
      <c r="C331" s="0" t="s">
        <v>129</v>
      </c>
      <c r="D331" s="0" t="s">
        <v>53</v>
      </c>
      <c r="E331" s="0" t="s">
        <v>105</v>
      </c>
      <c r="F331" s="0" t="s">
        <v>75</v>
      </c>
      <c r="G331" s="0" t="s">
        <v>210</v>
      </c>
      <c r="H331" s="0" t="s">
        <v>31</v>
      </c>
      <c r="I331" s="0" t="s">
        <v>87</v>
      </c>
      <c r="J331" s="0" t="s">
        <v>45</v>
      </c>
      <c r="K331" s="0" t="n">
        <v>3</v>
      </c>
      <c r="L331" s="0" t="n">
        <v>3</v>
      </c>
      <c r="M331" s="0" t="n">
        <v>4</v>
      </c>
      <c r="N331" s="0" t="n">
        <v>4</v>
      </c>
      <c r="O331" s="0" t="n">
        <f aca="false">SUM(K331:N331)</f>
        <v>14</v>
      </c>
      <c r="P331" s="0" t="str">
        <f aca="false">IF(O331&gt;=15,"Yes","No")</f>
        <v>No</v>
      </c>
      <c r="Q331" s="0" t="s">
        <v>60</v>
      </c>
      <c r="R331" s="2" t="n">
        <v>705000</v>
      </c>
      <c r="S331" s="3" t="n">
        <v>0.15</v>
      </c>
      <c r="T331" s="2" t="n">
        <f aca="false">R331*S331</f>
        <v>105750</v>
      </c>
      <c r="U331" s="4" t="s">
        <v>1163</v>
      </c>
    </row>
    <row r="332" customFormat="false" ht="15" hidden="false" customHeight="false" outlineLevel="0" collapsed="false">
      <c r="A332" s="0" t="s">
        <v>1206</v>
      </c>
      <c r="B332" s="0" t="s">
        <v>252</v>
      </c>
      <c r="C332" s="0" t="s">
        <v>52</v>
      </c>
      <c r="D332" s="0" t="s">
        <v>53</v>
      </c>
      <c r="E332" s="0" t="s">
        <v>105</v>
      </c>
      <c r="F332" s="0" t="s">
        <v>29</v>
      </c>
      <c r="G332" s="0" t="s">
        <v>445</v>
      </c>
      <c r="H332" s="0" t="s">
        <v>86</v>
      </c>
      <c r="I332" s="0" t="s">
        <v>1207</v>
      </c>
      <c r="J332" s="0" t="s">
        <v>33</v>
      </c>
      <c r="K332" s="0" t="n">
        <v>1</v>
      </c>
      <c r="L332" s="0" t="n">
        <v>1</v>
      </c>
      <c r="M332" s="0" t="n">
        <v>3</v>
      </c>
      <c r="N332" s="0" t="n">
        <v>2</v>
      </c>
      <c r="O332" s="0" t="n">
        <f aca="false">SUM(K332:N332)</f>
        <v>7</v>
      </c>
      <c r="P332" s="0" t="str">
        <f aca="false">IF(O332&gt;=15,"Yes","No")</f>
        <v>No</v>
      </c>
      <c r="Q332" s="0" t="s">
        <v>60</v>
      </c>
      <c r="R332" s="2" t="n">
        <v>889000</v>
      </c>
      <c r="S332" s="3" t="n">
        <v>0.15</v>
      </c>
      <c r="T332" s="2" t="n">
        <f aca="false">R332*S332</f>
        <v>133350</v>
      </c>
      <c r="U332" s="4" t="s">
        <v>331</v>
      </c>
    </row>
    <row r="333" customFormat="false" ht="15" hidden="false" customHeight="false" outlineLevel="0" collapsed="false">
      <c r="A333" s="0" t="s">
        <v>1208</v>
      </c>
      <c r="B333" s="0" t="s">
        <v>349</v>
      </c>
      <c r="C333" s="0" t="s">
        <v>26</v>
      </c>
      <c r="D333" s="0" t="s">
        <v>53</v>
      </c>
      <c r="E333" s="0" t="s">
        <v>54</v>
      </c>
      <c r="F333" s="0" t="s">
        <v>55</v>
      </c>
      <c r="G333" s="0" t="s">
        <v>1209</v>
      </c>
      <c r="H333" s="0" t="s">
        <v>57</v>
      </c>
      <c r="I333" s="0" t="s">
        <v>500</v>
      </c>
      <c r="J333" s="0" t="s">
        <v>45</v>
      </c>
      <c r="K333" s="0" t="n">
        <v>3</v>
      </c>
      <c r="L333" s="0" t="n">
        <v>2</v>
      </c>
      <c r="M333" s="0" t="n">
        <v>1</v>
      </c>
      <c r="N333" s="0" t="n">
        <v>1</v>
      </c>
      <c r="O333" s="0" t="n">
        <f aca="false">SUM(K333:N333)</f>
        <v>7</v>
      </c>
      <c r="P333" s="0" t="str">
        <f aca="false">IF(O333&gt;=15,"Yes","No")</f>
        <v>No</v>
      </c>
      <c r="Q333" s="0" t="s">
        <v>46</v>
      </c>
      <c r="R333" s="2" t="n">
        <v>665000</v>
      </c>
      <c r="S333" s="3" t="n">
        <v>0</v>
      </c>
      <c r="T333" s="2" t="n">
        <f aca="false">R333*S333</f>
        <v>0</v>
      </c>
      <c r="U333" s="4" t="s">
        <v>724</v>
      </c>
      <c r="V333" s="4" t="s">
        <v>462</v>
      </c>
      <c r="W333" s="0" t="n">
        <v>12</v>
      </c>
      <c r="X333" s="4" t="s">
        <v>257</v>
      </c>
    </row>
    <row r="334" customFormat="false" ht="15" hidden="false" customHeight="false" outlineLevel="0" collapsed="false">
      <c r="A334" s="0" t="s">
        <v>1210</v>
      </c>
      <c r="B334" s="0" t="s">
        <v>25</v>
      </c>
      <c r="C334" s="0" t="s">
        <v>74</v>
      </c>
      <c r="D334" s="0" t="s">
        <v>27</v>
      </c>
      <c r="E334" s="0" t="s">
        <v>105</v>
      </c>
      <c r="F334" s="0" t="s">
        <v>75</v>
      </c>
      <c r="G334" s="0" t="s">
        <v>893</v>
      </c>
      <c r="H334" s="0" t="s">
        <v>86</v>
      </c>
      <c r="I334" s="0" t="s">
        <v>1197</v>
      </c>
      <c r="J334" s="0" t="s">
        <v>69</v>
      </c>
      <c r="K334" s="0" t="n">
        <v>2</v>
      </c>
      <c r="L334" s="0" t="n">
        <v>1</v>
      </c>
      <c r="M334" s="0" t="n">
        <v>2</v>
      </c>
      <c r="N334" s="0" t="n">
        <v>2</v>
      </c>
      <c r="O334" s="0" t="n">
        <f aca="false">SUM(K334:N334)</f>
        <v>7</v>
      </c>
      <c r="P334" s="0" t="str">
        <f aca="false">IF(O334&gt;=15,"Yes","No")</f>
        <v>No</v>
      </c>
      <c r="Q334" s="0" t="s">
        <v>159</v>
      </c>
      <c r="R334" s="2" t="n">
        <v>246000</v>
      </c>
      <c r="S334" s="3" t="n">
        <v>0.05</v>
      </c>
      <c r="T334" s="2" t="n">
        <f aca="false">R334*S334</f>
        <v>12300</v>
      </c>
      <c r="U334" s="4" t="s">
        <v>1154</v>
      </c>
    </row>
    <row r="335" customFormat="false" ht="15" hidden="false" customHeight="false" outlineLevel="0" collapsed="false">
      <c r="A335" s="0" t="s">
        <v>1211</v>
      </c>
      <c r="B335" s="0" t="s">
        <v>403</v>
      </c>
      <c r="C335" s="0" t="s">
        <v>152</v>
      </c>
      <c r="D335" s="0" t="s">
        <v>53</v>
      </c>
      <c r="E335" s="0" t="s">
        <v>84</v>
      </c>
      <c r="F335" s="0" t="s">
        <v>153</v>
      </c>
      <c r="G335" s="0" t="s">
        <v>1132</v>
      </c>
      <c r="H335" s="0" t="s">
        <v>43</v>
      </c>
      <c r="I335" s="0" t="s">
        <v>1212</v>
      </c>
      <c r="J335" s="0" t="s">
        <v>59</v>
      </c>
      <c r="K335" s="0" t="n">
        <v>5</v>
      </c>
      <c r="L335" s="0" t="n">
        <v>4</v>
      </c>
      <c r="M335" s="0" t="n">
        <v>4</v>
      </c>
      <c r="N335" s="0" t="n">
        <v>5</v>
      </c>
      <c r="O335" s="0" t="n">
        <f aca="false">SUM(K335:N335)</f>
        <v>18</v>
      </c>
      <c r="P335" s="0" t="str">
        <f aca="false">IF(O335&gt;=15,"Yes","No")</f>
        <v>Yes</v>
      </c>
      <c r="Q335" s="0" t="s">
        <v>70</v>
      </c>
      <c r="R335" s="2" t="n">
        <v>496000</v>
      </c>
      <c r="S335" s="3" t="n">
        <v>0.55</v>
      </c>
      <c r="T335" s="2" t="n">
        <f aca="false">R335*S335</f>
        <v>272800</v>
      </c>
      <c r="U335" s="4" t="s">
        <v>983</v>
      </c>
    </row>
    <row r="336" customFormat="false" ht="15" hidden="false" customHeight="false" outlineLevel="0" collapsed="false">
      <c r="A336" s="0" t="s">
        <v>1213</v>
      </c>
      <c r="B336" s="0" t="s">
        <v>189</v>
      </c>
      <c r="C336" s="0" t="s">
        <v>129</v>
      </c>
      <c r="D336" s="0" t="s">
        <v>27</v>
      </c>
      <c r="E336" s="0" t="s">
        <v>54</v>
      </c>
      <c r="F336" s="0" t="s">
        <v>153</v>
      </c>
      <c r="G336" s="0" t="s">
        <v>1214</v>
      </c>
      <c r="H336" s="0" t="s">
        <v>57</v>
      </c>
      <c r="I336" s="0" t="s">
        <v>484</v>
      </c>
      <c r="J336" s="0" t="s">
        <v>69</v>
      </c>
      <c r="K336" s="0" t="n">
        <v>5</v>
      </c>
      <c r="L336" s="0" t="n">
        <v>3</v>
      </c>
      <c r="M336" s="0" t="n">
        <v>3</v>
      </c>
      <c r="N336" s="0" t="n">
        <v>3</v>
      </c>
      <c r="O336" s="0" t="n">
        <f aca="false">SUM(K336:N336)</f>
        <v>14</v>
      </c>
      <c r="P336" s="0" t="str">
        <f aca="false">IF(O336&gt;=15,"Yes","No")</f>
        <v>No</v>
      </c>
      <c r="Q336" s="0" t="s">
        <v>115</v>
      </c>
      <c r="R336" s="2" t="n">
        <v>209000</v>
      </c>
      <c r="S336" s="3" t="n">
        <v>0.35</v>
      </c>
      <c r="T336" s="2" t="n">
        <f aca="false">R336*S336</f>
        <v>73150</v>
      </c>
      <c r="U336" s="4" t="s">
        <v>114</v>
      </c>
    </row>
    <row r="337" customFormat="false" ht="15" hidden="false" customHeight="false" outlineLevel="0" collapsed="false">
      <c r="A337" s="0" t="s">
        <v>1215</v>
      </c>
      <c r="B337" s="0" t="s">
        <v>598</v>
      </c>
      <c r="C337" s="0" t="s">
        <v>26</v>
      </c>
      <c r="D337" s="0" t="s">
        <v>64</v>
      </c>
      <c r="E337" s="0" t="s">
        <v>40</v>
      </c>
      <c r="F337" s="0" t="s">
        <v>75</v>
      </c>
      <c r="G337" s="0" t="s">
        <v>952</v>
      </c>
      <c r="H337" s="0" t="s">
        <v>43</v>
      </c>
      <c r="I337" s="0" t="s">
        <v>1216</v>
      </c>
      <c r="J337" s="0" t="s">
        <v>69</v>
      </c>
      <c r="K337" s="0" t="n">
        <v>3</v>
      </c>
      <c r="L337" s="0" t="n">
        <v>4</v>
      </c>
      <c r="M337" s="0" t="n">
        <v>4</v>
      </c>
      <c r="N337" s="0" t="n">
        <v>5</v>
      </c>
      <c r="O337" s="0" t="n">
        <f aca="false">SUM(K337:N337)</f>
        <v>16</v>
      </c>
      <c r="P337" s="0" t="str">
        <f aca="false">IF(O337&gt;=15,"Yes","No")</f>
        <v>Yes</v>
      </c>
      <c r="Q337" s="0" t="s">
        <v>34</v>
      </c>
      <c r="R337" s="2" t="n">
        <v>2313000</v>
      </c>
      <c r="S337" s="3" t="n">
        <v>1</v>
      </c>
      <c r="T337" s="2" t="n">
        <f aca="false">R337*S337</f>
        <v>2313000</v>
      </c>
      <c r="U337" s="4" t="s">
        <v>1217</v>
      </c>
      <c r="V337" s="4" t="s">
        <v>737</v>
      </c>
      <c r="W337" s="0" t="n">
        <v>46</v>
      </c>
    </row>
    <row r="338" customFormat="false" ht="15" hidden="false" customHeight="false" outlineLevel="0" collapsed="false">
      <c r="A338" s="0" t="s">
        <v>1218</v>
      </c>
      <c r="B338" s="0" t="s">
        <v>354</v>
      </c>
      <c r="C338" s="0" t="s">
        <v>52</v>
      </c>
      <c r="D338" s="0" t="s">
        <v>64</v>
      </c>
      <c r="E338" s="0" t="s">
        <v>99</v>
      </c>
      <c r="F338" s="0" t="s">
        <v>179</v>
      </c>
      <c r="G338" s="0" t="s">
        <v>1219</v>
      </c>
      <c r="H338" s="0" t="s">
        <v>31</v>
      </c>
      <c r="I338" s="0" t="s">
        <v>766</v>
      </c>
      <c r="J338" s="0" t="s">
        <v>45</v>
      </c>
      <c r="K338" s="0" t="n">
        <v>3</v>
      </c>
      <c r="L338" s="0" t="n">
        <v>4</v>
      </c>
      <c r="M338" s="0" t="n">
        <v>5</v>
      </c>
      <c r="N338" s="0" t="n">
        <v>5</v>
      </c>
      <c r="O338" s="0" t="n">
        <f aca="false">SUM(K338:N338)</f>
        <v>17</v>
      </c>
      <c r="P338" s="0" t="str">
        <f aca="false">IF(O338&gt;=15,"Yes","No")</f>
        <v>Yes</v>
      </c>
      <c r="Q338" s="0" t="s">
        <v>115</v>
      </c>
      <c r="R338" s="2" t="n">
        <v>2244000</v>
      </c>
      <c r="S338" s="3" t="n">
        <v>0.35</v>
      </c>
      <c r="T338" s="2" t="n">
        <f aca="false">R338*S338</f>
        <v>785400</v>
      </c>
      <c r="U338" s="4" t="s">
        <v>1220</v>
      </c>
    </row>
    <row r="339" customFormat="false" ht="15" hidden="false" customHeight="false" outlineLevel="0" collapsed="false">
      <c r="A339" s="0" t="s">
        <v>1221</v>
      </c>
      <c r="B339" s="0" t="s">
        <v>419</v>
      </c>
      <c r="C339" s="0" t="s">
        <v>74</v>
      </c>
      <c r="D339" s="0" t="s">
        <v>27</v>
      </c>
      <c r="E339" s="0" t="s">
        <v>65</v>
      </c>
      <c r="F339" s="0" t="s">
        <v>41</v>
      </c>
      <c r="G339" s="0" t="s">
        <v>66</v>
      </c>
      <c r="H339" s="0" t="s">
        <v>57</v>
      </c>
      <c r="I339" s="0" t="s">
        <v>1222</v>
      </c>
      <c r="J339" s="0" t="s">
        <v>59</v>
      </c>
      <c r="K339" s="0" t="n">
        <v>2</v>
      </c>
      <c r="L339" s="0" t="n">
        <v>1</v>
      </c>
      <c r="M339" s="0" t="n">
        <v>2</v>
      </c>
      <c r="N339" s="0" t="n">
        <v>1</v>
      </c>
      <c r="O339" s="0" t="n">
        <f aca="false">SUM(K339:N339)</f>
        <v>6</v>
      </c>
      <c r="P339" s="0" t="str">
        <f aca="false">IF(O339&gt;=15,"Yes","No")</f>
        <v>No</v>
      </c>
      <c r="Q339" s="0" t="s">
        <v>115</v>
      </c>
      <c r="R339" s="2" t="n">
        <v>182000</v>
      </c>
      <c r="S339" s="3" t="n">
        <v>0.35</v>
      </c>
      <c r="T339" s="2" t="n">
        <f aca="false">R339*S339</f>
        <v>63700</v>
      </c>
      <c r="U339" s="4" t="s">
        <v>1223</v>
      </c>
    </row>
    <row r="340" customFormat="false" ht="15" hidden="false" customHeight="false" outlineLevel="0" collapsed="false">
      <c r="A340" s="0" t="s">
        <v>1224</v>
      </c>
      <c r="B340" s="0" t="s">
        <v>728</v>
      </c>
      <c r="C340" s="0" t="s">
        <v>26</v>
      </c>
      <c r="D340" s="0" t="s">
        <v>27</v>
      </c>
      <c r="E340" s="0" t="s">
        <v>142</v>
      </c>
      <c r="F340" s="0" t="s">
        <v>55</v>
      </c>
      <c r="G340" s="0" t="s">
        <v>1225</v>
      </c>
      <c r="H340" s="0" t="s">
        <v>57</v>
      </c>
      <c r="I340" s="0" t="s">
        <v>633</v>
      </c>
      <c r="J340" s="0" t="s">
        <v>69</v>
      </c>
      <c r="K340" s="0" t="n">
        <v>3</v>
      </c>
      <c r="L340" s="0" t="n">
        <v>2</v>
      </c>
      <c r="M340" s="0" t="n">
        <v>2</v>
      </c>
      <c r="N340" s="0" t="n">
        <v>2</v>
      </c>
      <c r="O340" s="0" t="n">
        <f aca="false">SUM(K340:N340)</f>
        <v>9</v>
      </c>
      <c r="P340" s="0" t="str">
        <f aca="false">IF(O340&gt;=15,"Yes","No")</f>
        <v>No</v>
      </c>
      <c r="Q340" s="0" t="s">
        <v>46</v>
      </c>
      <c r="R340" s="2" t="n">
        <v>152000</v>
      </c>
      <c r="S340" s="3" t="n">
        <v>0</v>
      </c>
      <c r="T340" s="2" t="n">
        <f aca="false">R340*S340</f>
        <v>0</v>
      </c>
      <c r="U340" s="4" t="s">
        <v>132</v>
      </c>
      <c r="V340" s="4" t="s">
        <v>1144</v>
      </c>
      <c r="W340" s="0" t="n">
        <v>18</v>
      </c>
      <c r="X340" s="4" t="s">
        <v>443</v>
      </c>
    </row>
    <row r="341" customFormat="false" ht="15" hidden="false" customHeight="false" outlineLevel="0" collapsed="false">
      <c r="A341" s="0" t="s">
        <v>1226</v>
      </c>
      <c r="B341" s="0" t="s">
        <v>469</v>
      </c>
      <c r="C341" s="0" t="s">
        <v>264</v>
      </c>
      <c r="D341" s="0" t="s">
        <v>53</v>
      </c>
      <c r="E341" s="0" t="s">
        <v>322</v>
      </c>
      <c r="F341" s="0" t="s">
        <v>29</v>
      </c>
      <c r="G341" s="0" t="s">
        <v>1034</v>
      </c>
      <c r="H341" s="0" t="s">
        <v>43</v>
      </c>
      <c r="I341" s="0" t="s">
        <v>389</v>
      </c>
      <c r="J341" s="0" t="s">
        <v>59</v>
      </c>
      <c r="K341" s="0" t="n">
        <v>4</v>
      </c>
      <c r="L341" s="0" t="n">
        <v>4</v>
      </c>
      <c r="M341" s="0" t="n">
        <v>5</v>
      </c>
      <c r="N341" s="0" t="n">
        <v>4</v>
      </c>
      <c r="O341" s="0" t="n">
        <f aca="false">SUM(K341:N341)</f>
        <v>17</v>
      </c>
      <c r="P341" s="0" t="str">
        <f aca="false">IF(O341&gt;=15,"Yes","No")</f>
        <v>Yes</v>
      </c>
      <c r="Q341" s="0" t="s">
        <v>46</v>
      </c>
      <c r="R341" s="2" t="n">
        <v>631000</v>
      </c>
      <c r="S341" s="3" t="n">
        <v>0</v>
      </c>
      <c r="T341" s="2" t="n">
        <f aca="false">R341*S341</f>
        <v>0</v>
      </c>
      <c r="U341" s="4" t="s">
        <v>596</v>
      </c>
      <c r="V341" s="4" t="s">
        <v>462</v>
      </c>
      <c r="W341" s="0" t="n">
        <v>31</v>
      </c>
      <c r="X341" s="4" t="s">
        <v>257</v>
      </c>
    </row>
    <row r="342" customFormat="false" ht="15" hidden="false" customHeight="false" outlineLevel="0" collapsed="false">
      <c r="A342" s="0" t="s">
        <v>1227</v>
      </c>
      <c r="B342" s="0" t="s">
        <v>1228</v>
      </c>
      <c r="C342" s="0" t="s">
        <v>26</v>
      </c>
      <c r="D342" s="0" t="s">
        <v>53</v>
      </c>
      <c r="E342" s="0" t="s">
        <v>65</v>
      </c>
      <c r="F342" s="0" t="s">
        <v>130</v>
      </c>
      <c r="G342" s="0" t="s">
        <v>1048</v>
      </c>
      <c r="H342" s="0" t="s">
        <v>67</v>
      </c>
      <c r="I342" s="0" t="s">
        <v>1229</v>
      </c>
      <c r="J342" s="0" t="s">
        <v>78</v>
      </c>
      <c r="K342" s="0" t="n">
        <v>1</v>
      </c>
      <c r="L342" s="0" t="n">
        <v>4</v>
      </c>
      <c r="M342" s="0" t="n">
        <v>2</v>
      </c>
      <c r="N342" s="0" t="n">
        <v>2</v>
      </c>
      <c r="O342" s="0" t="n">
        <f aca="false">SUM(K342:N342)</f>
        <v>9</v>
      </c>
      <c r="P342" s="0" t="str">
        <f aca="false">IF(O342&gt;=15,"Yes","No")</f>
        <v>No</v>
      </c>
      <c r="Q342" s="0" t="s">
        <v>46</v>
      </c>
      <c r="R342" s="2" t="n">
        <v>803000</v>
      </c>
      <c r="S342" s="3" t="n">
        <v>0</v>
      </c>
      <c r="T342" s="2" t="n">
        <f aca="false">R342*S342</f>
        <v>0</v>
      </c>
      <c r="U342" s="4" t="s">
        <v>1230</v>
      </c>
      <c r="V342" s="4" t="s">
        <v>499</v>
      </c>
      <c r="W342" s="0" t="n">
        <v>15</v>
      </c>
      <c r="X342" s="4" t="s">
        <v>257</v>
      </c>
    </row>
    <row r="343" customFormat="false" ht="15" hidden="false" customHeight="false" outlineLevel="0" collapsed="false">
      <c r="A343" s="0" t="s">
        <v>1231</v>
      </c>
      <c r="B343" s="0" t="s">
        <v>685</v>
      </c>
      <c r="C343" s="0" t="s">
        <v>26</v>
      </c>
      <c r="D343" s="0" t="s">
        <v>53</v>
      </c>
      <c r="E343" s="0" t="s">
        <v>195</v>
      </c>
      <c r="F343" s="0" t="s">
        <v>112</v>
      </c>
      <c r="G343" s="0" t="s">
        <v>543</v>
      </c>
      <c r="H343" s="0" t="s">
        <v>86</v>
      </c>
      <c r="I343" s="0" t="s">
        <v>767</v>
      </c>
      <c r="J343" s="0" t="s">
        <v>69</v>
      </c>
      <c r="K343" s="0" t="n">
        <v>3</v>
      </c>
      <c r="L343" s="0" t="n">
        <v>2</v>
      </c>
      <c r="M343" s="0" t="n">
        <v>1</v>
      </c>
      <c r="N343" s="0" t="n">
        <v>1</v>
      </c>
      <c r="O343" s="0" t="n">
        <f aca="false">SUM(K343:N343)</f>
        <v>7</v>
      </c>
      <c r="P343" s="0" t="str">
        <f aca="false">IF(O343&gt;=15,"Yes","No")</f>
        <v>No</v>
      </c>
      <c r="Q343" s="0" t="s">
        <v>60</v>
      </c>
      <c r="R343" s="2" t="n">
        <v>732000</v>
      </c>
      <c r="S343" s="3" t="n">
        <v>0.15</v>
      </c>
      <c r="T343" s="2" t="n">
        <f aca="false">R343*S343</f>
        <v>109800</v>
      </c>
      <c r="U343" s="4" t="s">
        <v>661</v>
      </c>
    </row>
    <row r="344" customFormat="false" ht="15" hidden="false" customHeight="false" outlineLevel="0" collapsed="false">
      <c r="A344" s="0" t="s">
        <v>1232</v>
      </c>
      <c r="B344" s="0" t="s">
        <v>941</v>
      </c>
      <c r="C344" s="0" t="s">
        <v>39</v>
      </c>
      <c r="D344" s="0" t="s">
        <v>64</v>
      </c>
      <c r="E344" s="0" t="s">
        <v>99</v>
      </c>
      <c r="F344" s="0" t="s">
        <v>75</v>
      </c>
      <c r="G344" s="0" t="s">
        <v>1233</v>
      </c>
      <c r="H344" s="0" t="s">
        <v>57</v>
      </c>
      <c r="I344" s="0" t="s">
        <v>401</v>
      </c>
      <c r="J344" s="0" t="s">
        <v>33</v>
      </c>
      <c r="K344" s="0" t="n">
        <v>3</v>
      </c>
      <c r="L344" s="0" t="n">
        <v>1</v>
      </c>
      <c r="M344" s="0" t="n">
        <v>1</v>
      </c>
      <c r="N344" s="0" t="n">
        <v>1</v>
      </c>
      <c r="O344" s="0" t="n">
        <f aca="false">SUM(K344:N344)</f>
        <v>6</v>
      </c>
      <c r="P344" s="0" t="str">
        <f aca="false">IF(O344&gt;=15,"Yes","No")</f>
        <v>No</v>
      </c>
      <c r="Q344" s="0" t="s">
        <v>115</v>
      </c>
      <c r="R344" s="2" t="n">
        <v>2727000</v>
      </c>
      <c r="S344" s="3" t="n">
        <v>0.35</v>
      </c>
      <c r="T344" s="2" t="n">
        <f aca="false">R344*S344</f>
        <v>954450</v>
      </c>
      <c r="U344" s="4" t="s">
        <v>232</v>
      </c>
    </row>
    <row r="345" customFormat="false" ht="15" hidden="false" customHeight="false" outlineLevel="0" collapsed="false">
      <c r="A345" s="0" t="s">
        <v>1234</v>
      </c>
      <c r="B345" s="0" t="s">
        <v>209</v>
      </c>
      <c r="C345" s="0" t="s">
        <v>26</v>
      </c>
      <c r="D345" s="0" t="s">
        <v>53</v>
      </c>
      <c r="E345" s="0" t="s">
        <v>105</v>
      </c>
      <c r="F345" s="0" t="s">
        <v>29</v>
      </c>
      <c r="G345" s="0" t="s">
        <v>210</v>
      </c>
      <c r="H345" s="0" t="s">
        <v>57</v>
      </c>
      <c r="I345" s="0" t="s">
        <v>930</v>
      </c>
      <c r="J345" s="0" t="s">
        <v>78</v>
      </c>
      <c r="K345" s="0" t="n">
        <v>3</v>
      </c>
      <c r="L345" s="0" t="n">
        <v>1</v>
      </c>
      <c r="M345" s="0" t="n">
        <v>1</v>
      </c>
      <c r="N345" s="0" t="n">
        <v>2</v>
      </c>
      <c r="O345" s="0" t="n">
        <f aca="false">SUM(K345:N345)</f>
        <v>7</v>
      </c>
      <c r="P345" s="0" t="str">
        <f aca="false">IF(O345&gt;=15,"Yes","No")</f>
        <v>No</v>
      </c>
      <c r="Q345" s="0" t="s">
        <v>159</v>
      </c>
      <c r="R345" s="2" t="n">
        <v>753000</v>
      </c>
      <c r="S345" s="3" t="n">
        <v>0.05</v>
      </c>
      <c r="T345" s="2" t="n">
        <f aca="false">R345*S345</f>
        <v>37650</v>
      </c>
      <c r="U345" s="4" t="s">
        <v>1235</v>
      </c>
    </row>
    <row r="346" customFormat="false" ht="15" hidden="false" customHeight="false" outlineLevel="0" collapsed="false">
      <c r="A346" s="0" t="s">
        <v>1236</v>
      </c>
      <c r="B346" s="0" t="s">
        <v>933</v>
      </c>
      <c r="C346" s="0" t="s">
        <v>129</v>
      </c>
      <c r="D346" s="0" t="s">
        <v>27</v>
      </c>
      <c r="E346" s="0" t="s">
        <v>195</v>
      </c>
      <c r="F346" s="0" t="s">
        <v>153</v>
      </c>
      <c r="G346" s="0" t="s">
        <v>1237</v>
      </c>
      <c r="H346" s="0" t="s">
        <v>31</v>
      </c>
      <c r="I346" s="0" t="s">
        <v>690</v>
      </c>
      <c r="J346" s="0" t="s">
        <v>59</v>
      </c>
      <c r="K346" s="0" t="n">
        <v>3</v>
      </c>
      <c r="L346" s="0" t="n">
        <v>4</v>
      </c>
      <c r="M346" s="0" t="n">
        <v>1</v>
      </c>
      <c r="N346" s="0" t="n">
        <v>1</v>
      </c>
      <c r="O346" s="0" t="n">
        <f aca="false">SUM(K346:N346)</f>
        <v>9</v>
      </c>
      <c r="P346" s="0" t="str">
        <f aca="false">IF(O346&gt;=15,"Yes","No")</f>
        <v>No</v>
      </c>
      <c r="Q346" s="0" t="s">
        <v>159</v>
      </c>
      <c r="R346" s="2" t="n">
        <v>219000</v>
      </c>
      <c r="S346" s="3" t="n">
        <v>0.05</v>
      </c>
      <c r="T346" s="2" t="n">
        <f aca="false">R346*S346</f>
        <v>10950</v>
      </c>
      <c r="U346" s="4" t="s">
        <v>596</v>
      </c>
    </row>
    <row r="347" customFormat="false" ht="15" hidden="false" customHeight="false" outlineLevel="0" collapsed="false">
      <c r="A347" s="0" t="s">
        <v>1238</v>
      </c>
      <c r="B347" s="0" t="s">
        <v>1239</v>
      </c>
      <c r="C347" s="0" t="s">
        <v>52</v>
      </c>
      <c r="D347" s="0" t="s">
        <v>27</v>
      </c>
      <c r="E347" s="0" t="s">
        <v>119</v>
      </c>
      <c r="F347" s="0" t="s">
        <v>75</v>
      </c>
      <c r="G347" s="0" t="s">
        <v>1240</v>
      </c>
      <c r="H347" s="0" t="s">
        <v>43</v>
      </c>
      <c r="I347" s="0" t="s">
        <v>1241</v>
      </c>
      <c r="J347" s="0" t="s">
        <v>69</v>
      </c>
      <c r="K347" s="0" t="n">
        <v>4</v>
      </c>
      <c r="L347" s="0" t="n">
        <v>3</v>
      </c>
      <c r="M347" s="0" t="n">
        <v>3</v>
      </c>
      <c r="N347" s="0" t="n">
        <v>5</v>
      </c>
      <c r="O347" s="0" t="n">
        <f aca="false">SUM(K347:N347)</f>
        <v>15</v>
      </c>
      <c r="P347" s="0" t="str">
        <f aca="false">IF(O347&gt;=15,"Yes","No")</f>
        <v>Yes</v>
      </c>
      <c r="Q347" s="0" t="s">
        <v>60</v>
      </c>
      <c r="R347" s="2" t="n">
        <v>192000</v>
      </c>
      <c r="S347" s="3" t="n">
        <v>0.15</v>
      </c>
      <c r="T347" s="2" t="n">
        <f aca="false">R347*S347</f>
        <v>28800</v>
      </c>
      <c r="U347" s="4" t="s">
        <v>576</v>
      </c>
    </row>
    <row r="348" customFormat="false" ht="15" hidden="false" customHeight="false" outlineLevel="0" collapsed="false">
      <c r="A348" s="0" t="s">
        <v>1242</v>
      </c>
      <c r="B348" s="0" t="s">
        <v>659</v>
      </c>
      <c r="C348" s="0" t="s">
        <v>74</v>
      </c>
      <c r="D348" s="0" t="s">
        <v>53</v>
      </c>
      <c r="E348" s="0" t="s">
        <v>119</v>
      </c>
      <c r="F348" s="0" t="s">
        <v>55</v>
      </c>
      <c r="G348" s="0" t="s">
        <v>1243</v>
      </c>
      <c r="H348" s="0" t="s">
        <v>67</v>
      </c>
      <c r="I348" s="0" t="s">
        <v>335</v>
      </c>
      <c r="J348" s="0" t="s">
        <v>59</v>
      </c>
      <c r="K348" s="0" t="n">
        <v>3</v>
      </c>
      <c r="L348" s="0" t="n">
        <v>1</v>
      </c>
      <c r="M348" s="0" t="n">
        <v>4</v>
      </c>
      <c r="N348" s="0" t="n">
        <v>3</v>
      </c>
      <c r="O348" s="0" t="n">
        <f aca="false">SUM(K348:N348)</f>
        <v>11</v>
      </c>
      <c r="P348" s="0" t="str">
        <f aca="false">IF(O348&gt;=15,"Yes","No")</f>
        <v>No</v>
      </c>
      <c r="Q348" s="0" t="s">
        <v>60</v>
      </c>
      <c r="R348" s="2" t="n">
        <v>856000</v>
      </c>
      <c r="S348" s="3" t="n">
        <v>0.15</v>
      </c>
      <c r="T348" s="2" t="n">
        <f aca="false">R348*S348</f>
        <v>128400</v>
      </c>
      <c r="U348" s="4" t="s">
        <v>810</v>
      </c>
    </row>
    <row r="349" customFormat="false" ht="15" hidden="false" customHeight="false" outlineLevel="0" collapsed="false">
      <c r="A349" s="0" t="s">
        <v>1244</v>
      </c>
      <c r="B349" s="0" t="s">
        <v>1245</v>
      </c>
      <c r="C349" s="0" t="s">
        <v>52</v>
      </c>
      <c r="D349" s="0" t="s">
        <v>64</v>
      </c>
      <c r="E349" s="0" t="s">
        <v>99</v>
      </c>
      <c r="F349" s="0" t="s">
        <v>41</v>
      </c>
      <c r="G349" s="0" t="s">
        <v>1246</v>
      </c>
      <c r="H349" s="0" t="s">
        <v>248</v>
      </c>
      <c r="I349" s="0" t="s">
        <v>562</v>
      </c>
      <c r="J349" s="0" t="s">
        <v>33</v>
      </c>
      <c r="K349" s="0" t="n">
        <v>4</v>
      </c>
      <c r="L349" s="0" t="n">
        <v>2</v>
      </c>
      <c r="M349" s="0" t="n">
        <v>3</v>
      </c>
      <c r="N349" s="0" t="n">
        <v>5</v>
      </c>
      <c r="O349" s="0" t="n">
        <f aca="false">SUM(K349:N349)</f>
        <v>14</v>
      </c>
      <c r="P349" s="0" t="str">
        <f aca="false">IF(O349&gt;=15,"Yes","No")</f>
        <v>No</v>
      </c>
      <c r="Q349" s="0" t="s">
        <v>60</v>
      </c>
      <c r="R349" s="2" t="n">
        <v>1934000</v>
      </c>
      <c r="S349" s="3" t="n">
        <v>0.15</v>
      </c>
      <c r="T349" s="2" t="n">
        <f aca="false">R349*S349</f>
        <v>290100</v>
      </c>
      <c r="U349" s="4" t="s">
        <v>709</v>
      </c>
    </row>
    <row r="350" customFormat="false" ht="15" hidden="false" customHeight="false" outlineLevel="0" collapsed="false">
      <c r="A350" s="0" t="s">
        <v>1247</v>
      </c>
      <c r="B350" s="0" t="s">
        <v>888</v>
      </c>
      <c r="C350" s="0" t="s">
        <v>26</v>
      </c>
      <c r="D350" s="0" t="s">
        <v>64</v>
      </c>
      <c r="E350" s="0" t="s">
        <v>136</v>
      </c>
      <c r="F350" s="0" t="s">
        <v>130</v>
      </c>
      <c r="G350" s="0" t="s">
        <v>190</v>
      </c>
      <c r="H350" s="0" t="s">
        <v>57</v>
      </c>
      <c r="I350" s="0" t="s">
        <v>61</v>
      </c>
      <c r="J350" s="0" t="s">
        <v>59</v>
      </c>
      <c r="K350" s="0" t="n">
        <v>4</v>
      </c>
      <c r="L350" s="0" t="n">
        <v>3</v>
      </c>
      <c r="M350" s="0" t="n">
        <v>2</v>
      </c>
      <c r="N350" s="0" t="n">
        <v>3</v>
      </c>
      <c r="O350" s="0" t="n">
        <f aca="false">SUM(K350:N350)</f>
        <v>12</v>
      </c>
      <c r="P350" s="0" t="str">
        <f aca="false">IF(O350&gt;=15,"Yes","No")</f>
        <v>No</v>
      </c>
      <c r="Q350" s="0" t="s">
        <v>115</v>
      </c>
      <c r="R350" s="2" t="n">
        <v>2797000</v>
      </c>
      <c r="S350" s="3" t="n">
        <v>0.35</v>
      </c>
      <c r="T350" s="2" t="n">
        <f aca="false">R350*S350</f>
        <v>978950</v>
      </c>
      <c r="U350" s="4" t="s">
        <v>618</v>
      </c>
    </row>
    <row r="351" customFormat="false" ht="15" hidden="false" customHeight="false" outlineLevel="0" collapsed="false">
      <c r="A351" s="0" t="s">
        <v>1248</v>
      </c>
      <c r="B351" s="0" t="s">
        <v>381</v>
      </c>
      <c r="C351" s="0" t="s">
        <v>39</v>
      </c>
      <c r="D351" s="0" t="s">
        <v>27</v>
      </c>
      <c r="E351" s="0" t="s">
        <v>99</v>
      </c>
      <c r="F351" s="0" t="s">
        <v>55</v>
      </c>
      <c r="G351" s="0" t="s">
        <v>1249</v>
      </c>
      <c r="H351" s="0" t="s">
        <v>57</v>
      </c>
      <c r="I351" s="0" t="s">
        <v>79</v>
      </c>
      <c r="J351" s="0" t="s">
        <v>69</v>
      </c>
      <c r="K351" s="0" t="n">
        <v>2</v>
      </c>
      <c r="L351" s="0" t="n">
        <v>1</v>
      </c>
      <c r="M351" s="0" t="n">
        <v>2</v>
      </c>
      <c r="N351" s="0" t="n">
        <v>1</v>
      </c>
      <c r="O351" s="0" t="n">
        <f aca="false">SUM(K351:N351)</f>
        <v>6</v>
      </c>
      <c r="P351" s="0" t="str">
        <f aca="false">IF(O351&gt;=15,"Yes","No")</f>
        <v>No</v>
      </c>
      <c r="Q351" s="0" t="s">
        <v>60</v>
      </c>
      <c r="R351" s="2" t="n">
        <v>211000</v>
      </c>
      <c r="S351" s="3" t="n">
        <v>0.15</v>
      </c>
      <c r="T351" s="2" t="n">
        <f aca="false">R351*S351</f>
        <v>31650</v>
      </c>
      <c r="U351" s="4" t="s">
        <v>1250</v>
      </c>
    </row>
    <row r="352" customFormat="false" ht="15" hidden="false" customHeight="false" outlineLevel="0" collapsed="false">
      <c r="A352" s="0" t="s">
        <v>1251</v>
      </c>
      <c r="B352" s="0" t="s">
        <v>1252</v>
      </c>
      <c r="C352" s="0" t="s">
        <v>52</v>
      </c>
      <c r="D352" s="0" t="s">
        <v>27</v>
      </c>
      <c r="E352" s="0" t="s">
        <v>84</v>
      </c>
      <c r="F352" s="0" t="s">
        <v>29</v>
      </c>
      <c r="G352" s="0" t="s">
        <v>1004</v>
      </c>
      <c r="H352" s="0" t="s">
        <v>57</v>
      </c>
      <c r="I352" s="0" t="s">
        <v>344</v>
      </c>
      <c r="J352" s="0" t="s">
        <v>33</v>
      </c>
      <c r="K352" s="0" t="n">
        <v>4</v>
      </c>
      <c r="L352" s="0" t="n">
        <v>1</v>
      </c>
      <c r="M352" s="0" t="n">
        <v>1</v>
      </c>
      <c r="N352" s="0" t="n">
        <v>2</v>
      </c>
      <c r="O352" s="0" t="n">
        <f aca="false">SUM(K352:N352)</f>
        <v>8</v>
      </c>
      <c r="P352" s="0" t="str">
        <f aca="false">IF(O352&gt;=15,"Yes","No")</f>
        <v>No</v>
      </c>
      <c r="Q352" s="0" t="s">
        <v>46</v>
      </c>
      <c r="R352" s="2" t="n">
        <v>140000</v>
      </c>
      <c r="S352" s="3" t="n">
        <v>0</v>
      </c>
      <c r="T352" s="2" t="n">
        <f aca="false">R352*S352</f>
        <v>0</v>
      </c>
      <c r="U352" s="4" t="s">
        <v>485</v>
      </c>
      <c r="V352" s="4" t="s">
        <v>816</v>
      </c>
      <c r="W352" s="0" t="n">
        <v>31</v>
      </c>
      <c r="X352" s="4" t="s">
        <v>326</v>
      </c>
    </row>
    <row r="353" customFormat="false" ht="15" hidden="false" customHeight="false" outlineLevel="0" collapsed="false">
      <c r="A353" s="0" t="s">
        <v>1253</v>
      </c>
      <c r="B353" s="0" t="s">
        <v>263</v>
      </c>
      <c r="C353" s="0" t="s">
        <v>39</v>
      </c>
      <c r="D353" s="0" t="s">
        <v>27</v>
      </c>
      <c r="E353" s="0" t="s">
        <v>92</v>
      </c>
      <c r="F353" s="0" t="s">
        <v>112</v>
      </c>
      <c r="G353" s="0" t="s">
        <v>1254</v>
      </c>
      <c r="H353" s="0" t="s">
        <v>86</v>
      </c>
      <c r="I353" s="0" t="s">
        <v>1255</v>
      </c>
      <c r="J353" s="0" t="s">
        <v>33</v>
      </c>
      <c r="K353" s="0" t="n">
        <v>1</v>
      </c>
      <c r="L353" s="0" t="n">
        <v>1</v>
      </c>
      <c r="M353" s="0" t="n">
        <v>1</v>
      </c>
      <c r="N353" s="0" t="n">
        <v>2</v>
      </c>
      <c r="O353" s="0" t="n">
        <f aca="false">SUM(K353:N353)</f>
        <v>5</v>
      </c>
      <c r="P353" s="0" t="str">
        <f aca="false">IF(O353&gt;=15,"Yes","No")</f>
        <v>No</v>
      </c>
      <c r="Q353" s="0" t="s">
        <v>159</v>
      </c>
      <c r="R353" s="2" t="n">
        <v>230000</v>
      </c>
      <c r="S353" s="3" t="n">
        <v>0.05</v>
      </c>
      <c r="T353" s="2" t="n">
        <f aca="false">R353*S353</f>
        <v>11500</v>
      </c>
      <c r="U353" s="4" t="s">
        <v>1256</v>
      </c>
    </row>
    <row r="354" customFormat="false" ht="15" hidden="false" customHeight="false" outlineLevel="0" collapsed="false">
      <c r="A354" s="0" t="s">
        <v>1257</v>
      </c>
      <c r="B354" s="0" t="s">
        <v>636</v>
      </c>
      <c r="C354" s="0" t="s">
        <v>74</v>
      </c>
      <c r="D354" s="0" t="s">
        <v>64</v>
      </c>
      <c r="E354" s="0" t="s">
        <v>99</v>
      </c>
      <c r="F354" s="0" t="s">
        <v>75</v>
      </c>
      <c r="G354" s="0" t="s">
        <v>1258</v>
      </c>
      <c r="H354" s="0" t="s">
        <v>248</v>
      </c>
      <c r="I354" s="0" t="s">
        <v>485</v>
      </c>
      <c r="J354" s="0" t="s">
        <v>69</v>
      </c>
      <c r="K354" s="0" t="n">
        <v>4</v>
      </c>
      <c r="L354" s="0" t="n">
        <v>4</v>
      </c>
      <c r="M354" s="0" t="n">
        <v>2</v>
      </c>
      <c r="N354" s="0" t="n">
        <v>3</v>
      </c>
      <c r="O354" s="0" t="n">
        <f aca="false">SUM(K354:N354)</f>
        <v>13</v>
      </c>
      <c r="P354" s="0" t="str">
        <f aca="false">IF(O354&gt;=15,"Yes","No")</f>
        <v>No</v>
      </c>
      <c r="Q354" s="0" t="s">
        <v>60</v>
      </c>
      <c r="R354" s="2" t="n">
        <v>2897000</v>
      </c>
      <c r="S354" s="3" t="n">
        <v>0.15</v>
      </c>
      <c r="T354" s="2" t="n">
        <f aca="false">R354*S354</f>
        <v>434550</v>
      </c>
      <c r="U354" s="4" t="s">
        <v>852</v>
      </c>
    </row>
    <row r="355" customFormat="false" ht="15" hidden="false" customHeight="false" outlineLevel="0" collapsed="false">
      <c r="A355" s="0" t="s">
        <v>1259</v>
      </c>
      <c r="B355" s="0" t="s">
        <v>863</v>
      </c>
      <c r="C355" s="0" t="s">
        <v>264</v>
      </c>
      <c r="D355" s="0" t="s">
        <v>53</v>
      </c>
      <c r="E355" s="0" t="s">
        <v>111</v>
      </c>
      <c r="F355" s="0" t="s">
        <v>130</v>
      </c>
      <c r="G355" s="0" t="s">
        <v>564</v>
      </c>
      <c r="H355" s="0" t="s">
        <v>86</v>
      </c>
      <c r="I355" s="0" t="s">
        <v>435</v>
      </c>
      <c r="J355" s="0" t="s">
        <v>45</v>
      </c>
      <c r="K355" s="0" t="n">
        <v>2</v>
      </c>
      <c r="L355" s="0" t="n">
        <v>1</v>
      </c>
      <c r="M355" s="0" t="n">
        <v>2</v>
      </c>
      <c r="N355" s="0" t="n">
        <v>1</v>
      </c>
      <c r="O355" s="0" t="n">
        <f aca="false">SUM(K355:N355)</f>
        <v>6</v>
      </c>
      <c r="P355" s="0" t="str">
        <f aca="false">IF(O355&gt;=15,"Yes","No")</f>
        <v>No</v>
      </c>
      <c r="Q355" s="0" t="s">
        <v>60</v>
      </c>
      <c r="R355" s="2" t="n">
        <v>533000</v>
      </c>
      <c r="S355" s="3" t="n">
        <v>0.15</v>
      </c>
      <c r="T355" s="2" t="n">
        <f aca="false">R355*S355</f>
        <v>79950</v>
      </c>
      <c r="U355" s="4" t="s">
        <v>1260</v>
      </c>
    </row>
    <row r="356" customFormat="false" ht="15" hidden="false" customHeight="false" outlineLevel="0" collapsed="false">
      <c r="A356" s="0" t="s">
        <v>1261</v>
      </c>
      <c r="B356" s="0" t="s">
        <v>646</v>
      </c>
      <c r="C356" s="0" t="s">
        <v>39</v>
      </c>
      <c r="D356" s="0" t="s">
        <v>27</v>
      </c>
      <c r="E356" s="0" t="s">
        <v>142</v>
      </c>
      <c r="F356" s="0" t="s">
        <v>75</v>
      </c>
      <c r="G356" s="0" t="s">
        <v>168</v>
      </c>
      <c r="H356" s="0" t="s">
        <v>43</v>
      </c>
      <c r="I356" s="0" t="s">
        <v>121</v>
      </c>
      <c r="J356" s="0" t="s">
        <v>33</v>
      </c>
      <c r="K356" s="0" t="n">
        <v>5</v>
      </c>
      <c r="L356" s="0" t="n">
        <v>1</v>
      </c>
      <c r="M356" s="0" t="n">
        <v>2</v>
      </c>
      <c r="N356" s="0" t="n">
        <v>4</v>
      </c>
      <c r="O356" s="0" t="n">
        <f aca="false">SUM(K356:N356)</f>
        <v>12</v>
      </c>
      <c r="P356" s="0" t="str">
        <f aca="false">IF(O356&gt;=15,"Yes","No")</f>
        <v>No</v>
      </c>
      <c r="Q356" s="0" t="s">
        <v>159</v>
      </c>
      <c r="R356" s="2" t="n">
        <v>238000</v>
      </c>
      <c r="S356" s="3" t="n">
        <v>0.05</v>
      </c>
      <c r="T356" s="2" t="n">
        <f aca="false">R356*S356</f>
        <v>11900</v>
      </c>
      <c r="U356" s="4" t="s">
        <v>1262</v>
      </c>
    </row>
    <row r="357" customFormat="false" ht="15" hidden="false" customHeight="false" outlineLevel="0" collapsed="false">
      <c r="A357" s="0" t="s">
        <v>1263</v>
      </c>
      <c r="B357" s="0" t="s">
        <v>147</v>
      </c>
      <c r="C357" s="0" t="s">
        <v>129</v>
      </c>
      <c r="D357" s="0" t="s">
        <v>53</v>
      </c>
      <c r="E357" s="0" t="s">
        <v>142</v>
      </c>
      <c r="F357" s="0" t="s">
        <v>29</v>
      </c>
      <c r="G357" s="0" t="s">
        <v>1264</v>
      </c>
      <c r="H357" s="0" t="s">
        <v>67</v>
      </c>
      <c r="I357" s="0" t="s">
        <v>1013</v>
      </c>
      <c r="J357" s="0" t="s">
        <v>69</v>
      </c>
      <c r="K357" s="0" t="n">
        <v>2</v>
      </c>
      <c r="L357" s="0" t="n">
        <v>3</v>
      </c>
      <c r="M357" s="0" t="n">
        <v>2</v>
      </c>
      <c r="N357" s="0" t="n">
        <v>3</v>
      </c>
      <c r="O357" s="0" t="n">
        <f aca="false">SUM(K357:N357)</f>
        <v>10</v>
      </c>
      <c r="P357" s="0" t="str">
        <f aca="false">IF(O357&gt;=15,"Yes","No")</f>
        <v>No</v>
      </c>
      <c r="Q357" s="0" t="s">
        <v>60</v>
      </c>
      <c r="R357" s="2" t="n">
        <v>770000</v>
      </c>
      <c r="S357" s="3" t="n">
        <v>0.15</v>
      </c>
      <c r="T357" s="2" t="n">
        <f aca="false">R357*S357</f>
        <v>115500</v>
      </c>
      <c r="U357" s="4" t="s">
        <v>1265</v>
      </c>
    </row>
    <row r="358" customFormat="false" ht="15" hidden="false" customHeight="false" outlineLevel="0" collapsed="false">
      <c r="A358" s="0" t="s">
        <v>1266</v>
      </c>
      <c r="B358" s="0" t="s">
        <v>83</v>
      </c>
      <c r="C358" s="0" t="s">
        <v>52</v>
      </c>
      <c r="D358" s="0" t="s">
        <v>53</v>
      </c>
      <c r="E358" s="0" t="s">
        <v>28</v>
      </c>
      <c r="F358" s="0" t="s">
        <v>75</v>
      </c>
      <c r="G358" s="0" t="s">
        <v>163</v>
      </c>
      <c r="H358" s="0" t="s">
        <v>57</v>
      </c>
      <c r="I358" s="0" t="s">
        <v>352</v>
      </c>
      <c r="J358" s="0" t="s">
        <v>45</v>
      </c>
      <c r="K358" s="0" t="n">
        <v>2</v>
      </c>
      <c r="L358" s="0" t="n">
        <v>2</v>
      </c>
      <c r="M358" s="0" t="n">
        <v>2</v>
      </c>
      <c r="N358" s="0" t="n">
        <v>1</v>
      </c>
      <c r="O358" s="0" t="n">
        <f aca="false">SUM(K358:N358)</f>
        <v>7</v>
      </c>
      <c r="P358" s="0" t="str">
        <f aca="false">IF(O358&gt;=15,"Yes","No")</f>
        <v>No</v>
      </c>
      <c r="Q358" s="0" t="s">
        <v>159</v>
      </c>
      <c r="R358" s="2" t="n">
        <v>659000</v>
      </c>
      <c r="S358" s="3" t="n">
        <v>0.05</v>
      </c>
      <c r="T358" s="2" t="n">
        <f aca="false">R358*S358</f>
        <v>32950</v>
      </c>
      <c r="U358" s="4" t="s">
        <v>680</v>
      </c>
    </row>
    <row r="359" customFormat="false" ht="15" hidden="false" customHeight="false" outlineLevel="0" collapsed="false">
      <c r="A359" s="0" t="s">
        <v>1267</v>
      </c>
      <c r="B359" s="0" t="s">
        <v>1268</v>
      </c>
      <c r="C359" s="0" t="s">
        <v>26</v>
      </c>
      <c r="D359" s="0" t="s">
        <v>64</v>
      </c>
      <c r="E359" s="0" t="s">
        <v>40</v>
      </c>
      <c r="F359" s="0" t="s">
        <v>179</v>
      </c>
      <c r="G359" s="0" t="s">
        <v>1184</v>
      </c>
      <c r="H359" s="0" t="s">
        <v>86</v>
      </c>
      <c r="I359" s="0" t="s">
        <v>417</v>
      </c>
      <c r="J359" s="0" t="s">
        <v>33</v>
      </c>
      <c r="K359" s="0" t="n">
        <v>1</v>
      </c>
      <c r="L359" s="0" t="n">
        <v>1</v>
      </c>
      <c r="M359" s="0" t="n">
        <v>1</v>
      </c>
      <c r="N359" s="0" t="n">
        <v>2</v>
      </c>
      <c r="O359" s="0" t="n">
        <f aca="false">SUM(K359:N359)</f>
        <v>5</v>
      </c>
      <c r="P359" s="0" t="str">
        <f aca="false">IF(O359&gt;=15,"Yes","No")</f>
        <v>No</v>
      </c>
      <c r="Q359" s="0" t="s">
        <v>159</v>
      </c>
      <c r="R359" s="2" t="n">
        <v>2110000</v>
      </c>
      <c r="S359" s="3" t="n">
        <v>0.05</v>
      </c>
      <c r="T359" s="2" t="n">
        <f aca="false">R359*S359</f>
        <v>105500</v>
      </c>
      <c r="U359" s="4" t="s">
        <v>1002</v>
      </c>
    </row>
    <row r="360" customFormat="false" ht="15" hidden="false" customHeight="false" outlineLevel="0" collapsed="false">
      <c r="A360" s="0" t="s">
        <v>1269</v>
      </c>
      <c r="B360" s="0" t="s">
        <v>769</v>
      </c>
      <c r="C360" s="0" t="s">
        <v>52</v>
      </c>
      <c r="D360" s="0" t="s">
        <v>27</v>
      </c>
      <c r="E360" s="0" t="s">
        <v>84</v>
      </c>
      <c r="F360" s="0" t="s">
        <v>75</v>
      </c>
      <c r="G360" s="0" t="s">
        <v>1270</v>
      </c>
      <c r="H360" s="0" t="s">
        <v>31</v>
      </c>
      <c r="I360" s="0" t="s">
        <v>834</v>
      </c>
      <c r="J360" s="0" t="s">
        <v>69</v>
      </c>
      <c r="K360" s="0" t="n">
        <v>3</v>
      </c>
      <c r="L360" s="0" t="n">
        <v>3</v>
      </c>
      <c r="M360" s="0" t="n">
        <v>4</v>
      </c>
      <c r="N360" s="0" t="n">
        <v>4</v>
      </c>
      <c r="O360" s="0" t="n">
        <f aca="false">SUM(K360:N360)</f>
        <v>14</v>
      </c>
      <c r="P360" s="0" t="str">
        <f aca="false">IF(O360&gt;=15,"Yes","No")</f>
        <v>No</v>
      </c>
      <c r="Q360" s="0" t="s">
        <v>159</v>
      </c>
      <c r="R360" s="2" t="n">
        <v>241000</v>
      </c>
      <c r="S360" s="3" t="n">
        <v>0.05</v>
      </c>
      <c r="T360" s="2" t="n">
        <f aca="false">R360*S360</f>
        <v>12050</v>
      </c>
      <c r="U360" s="4" t="s">
        <v>79</v>
      </c>
    </row>
    <row r="361" customFormat="false" ht="15" hidden="false" customHeight="false" outlineLevel="0" collapsed="false">
      <c r="A361" s="0" t="s">
        <v>1271</v>
      </c>
      <c r="B361" s="0" t="s">
        <v>1272</v>
      </c>
      <c r="C361" s="0" t="s">
        <v>184</v>
      </c>
      <c r="D361" s="0" t="s">
        <v>53</v>
      </c>
      <c r="E361" s="0" t="s">
        <v>65</v>
      </c>
      <c r="F361" s="0" t="s">
        <v>153</v>
      </c>
      <c r="G361" s="0" t="s">
        <v>514</v>
      </c>
      <c r="H361" s="0" t="s">
        <v>86</v>
      </c>
      <c r="I361" s="0" t="s">
        <v>1079</v>
      </c>
      <c r="J361" s="0" t="s">
        <v>59</v>
      </c>
      <c r="K361" s="0" t="n">
        <v>1</v>
      </c>
      <c r="L361" s="0" t="n">
        <v>2</v>
      </c>
      <c r="M361" s="0" t="n">
        <v>2</v>
      </c>
      <c r="N361" s="0" t="n">
        <v>2</v>
      </c>
      <c r="O361" s="0" t="n">
        <f aca="false">SUM(K361:N361)</f>
        <v>7</v>
      </c>
      <c r="P361" s="0" t="str">
        <f aca="false">IF(O361&gt;=15,"Yes","No")</f>
        <v>No</v>
      </c>
      <c r="Q361" s="0" t="s">
        <v>60</v>
      </c>
      <c r="R361" s="2" t="n">
        <v>690000</v>
      </c>
      <c r="S361" s="3" t="n">
        <v>0.15</v>
      </c>
      <c r="T361" s="2" t="n">
        <f aca="false">R361*S361</f>
        <v>103500</v>
      </c>
      <c r="U361" s="4" t="s">
        <v>1273</v>
      </c>
    </row>
    <row r="362" customFormat="false" ht="15" hidden="false" customHeight="false" outlineLevel="0" collapsed="false">
      <c r="A362" s="0" t="s">
        <v>1274</v>
      </c>
      <c r="B362" s="0" t="s">
        <v>1275</v>
      </c>
      <c r="C362" s="0" t="s">
        <v>39</v>
      </c>
      <c r="D362" s="0" t="s">
        <v>53</v>
      </c>
      <c r="E362" s="0" t="s">
        <v>105</v>
      </c>
      <c r="F362" s="0" t="s">
        <v>41</v>
      </c>
      <c r="G362" s="0" t="s">
        <v>1276</v>
      </c>
      <c r="H362" s="0" t="s">
        <v>67</v>
      </c>
      <c r="I362" s="0" t="s">
        <v>557</v>
      </c>
      <c r="J362" s="0" t="s">
        <v>45</v>
      </c>
      <c r="K362" s="0" t="n">
        <v>3</v>
      </c>
      <c r="L362" s="0" t="n">
        <v>3</v>
      </c>
      <c r="M362" s="0" t="n">
        <v>1</v>
      </c>
      <c r="N362" s="0" t="n">
        <v>4</v>
      </c>
      <c r="O362" s="0" t="n">
        <f aca="false">SUM(K362:N362)</f>
        <v>11</v>
      </c>
      <c r="P362" s="0" t="str">
        <f aca="false">IF(O362&gt;=15,"Yes","No")</f>
        <v>No</v>
      </c>
      <c r="Q362" s="0" t="s">
        <v>70</v>
      </c>
      <c r="R362" s="2" t="n">
        <v>833000</v>
      </c>
      <c r="S362" s="3" t="n">
        <v>0.55</v>
      </c>
      <c r="T362" s="2" t="n">
        <f aca="false">R362*S362</f>
        <v>458150</v>
      </c>
      <c r="U362" s="4" t="s">
        <v>975</v>
      </c>
    </row>
    <row r="363" customFormat="false" ht="15" hidden="false" customHeight="false" outlineLevel="0" collapsed="false">
      <c r="A363" s="0" t="s">
        <v>1277</v>
      </c>
      <c r="B363" s="0" t="s">
        <v>1278</v>
      </c>
      <c r="C363" s="0" t="s">
        <v>39</v>
      </c>
      <c r="D363" s="0" t="s">
        <v>53</v>
      </c>
      <c r="E363" s="0" t="s">
        <v>84</v>
      </c>
      <c r="F363" s="0" t="s">
        <v>55</v>
      </c>
      <c r="G363" s="0" t="s">
        <v>1279</v>
      </c>
      <c r="H363" s="0" t="s">
        <v>86</v>
      </c>
      <c r="I363" s="0" t="s">
        <v>1280</v>
      </c>
      <c r="J363" s="0" t="s">
        <v>45</v>
      </c>
      <c r="K363" s="0" t="n">
        <v>2</v>
      </c>
      <c r="L363" s="0" t="n">
        <v>5</v>
      </c>
      <c r="M363" s="0" t="n">
        <v>3</v>
      </c>
      <c r="N363" s="0" t="n">
        <v>1</v>
      </c>
      <c r="O363" s="0" t="n">
        <f aca="false">SUM(K363:N363)</f>
        <v>11</v>
      </c>
      <c r="P363" s="0" t="str">
        <f aca="false">IF(O363&gt;=15,"Yes","No")</f>
        <v>No</v>
      </c>
      <c r="Q363" s="0" t="s">
        <v>60</v>
      </c>
      <c r="R363" s="2" t="n">
        <v>518000</v>
      </c>
      <c r="S363" s="3" t="n">
        <v>0.15</v>
      </c>
      <c r="T363" s="2" t="n">
        <f aca="false">R363*S363</f>
        <v>77700</v>
      </c>
      <c r="U363" s="4" t="s">
        <v>1281</v>
      </c>
    </row>
    <row r="364" customFormat="false" ht="15" hidden="false" customHeight="false" outlineLevel="0" collapsed="false">
      <c r="A364" s="0" t="s">
        <v>1282</v>
      </c>
      <c r="B364" s="0" t="s">
        <v>162</v>
      </c>
      <c r="C364" s="0" t="s">
        <v>264</v>
      </c>
      <c r="D364" s="0" t="s">
        <v>53</v>
      </c>
      <c r="E364" s="0" t="s">
        <v>92</v>
      </c>
      <c r="F364" s="0" t="s">
        <v>41</v>
      </c>
      <c r="G364" s="0" t="s">
        <v>1283</v>
      </c>
      <c r="H364" s="0" t="s">
        <v>57</v>
      </c>
      <c r="I364" s="0" t="s">
        <v>1284</v>
      </c>
      <c r="J364" s="0" t="s">
        <v>69</v>
      </c>
      <c r="K364" s="0" t="n">
        <v>1</v>
      </c>
      <c r="L364" s="0" t="n">
        <v>2</v>
      </c>
      <c r="M364" s="0" t="n">
        <v>3</v>
      </c>
      <c r="N364" s="0" t="n">
        <v>2</v>
      </c>
      <c r="O364" s="0" t="n">
        <f aca="false">SUM(K364:N364)</f>
        <v>8</v>
      </c>
      <c r="P364" s="0" t="str">
        <f aca="false">IF(O364&gt;=15,"Yes","No")</f>
        <v>No</v>
      </c>
      <c r="Q364" s="0" t="s">
        <v>159</v>
      </c>
      <c r="R364" s="2" t="n">
        <v>578000</v>
      </c>
      <c r="S364" s="3" t="n">
        <v>0.05</v>
      </c>
      <c r="T364" s="2" t="n">
        <f aca="false">R364*S364</f>
        <v>28900</v>
      </c>
      <c r="U364" s="4" t="s">
        <v>289</v>
      </c>
    </row>
    <row r="365" customFormat="false" ht="15" hidden="false" customHeight="false" outlineLevel="0" collapsed="false">
      <c r="A365" s="0" t="s">
        <v>1285</v>
      </c>
      <c r="B365" s="0" t="s">
        <v>1286</v>
      </c>
      <c r="C365" s="0" t="s">
        <v>264</v>
      </c>
      <c r="D365" s="0" t="s">
        <v>53</v>
      </c>
      <c r="E365" s="0" t="s">
        <v>178</v>
      </c>
      <c r="F365" s="0" t="s">
        <v>55</v>
      </c>
      <c r="G365" s="0" t="s">
        <v>1287</v>
      </c>
      <c r="H365" s="0" t="s">
        <v>86</v>
      </c>
      <c r="I365" s="0" t="s">
        <v>795</v>
      </c>
      <c r="J365" s="0" t="s">
        <v>69</v>
      </c>
      <c r="K365" s="0" t="n">
        <v>2</v>
      </c>
      <c r="L365" s="0" t="n">
        <v>1</v>
      </c>
      <c r="M365" s="0" t="n">
        <v>1</v>
      </c>
      <c r="N365" s="0" t="n">
        <v>1</v>
      </c>
      <c r="O365" s="0" t="n">
        <f aca="false">SUM(K365:N365)</f>
        <v>5</v>
      </c>
      <c r="P365" s="0" t="str">
        <f aca="false">IF(O365&gt;=15,"Yes","No")</f>
        <v>No</v>
      </c>
      <c r="Q365" s="0" t="s">
        <v>60</v>
      </c>
      <c r="R365" s="2" t="n">
        <v>862000</v>
      </c>
      <c r="S365" s="3" t="n">
        <v>0.15</v>
      </c>
      <c r="T365" s="2" t="n">
        <f aca="false">R365*S365</f>
        <v>129300</v>
      </c>
      <c r="U365" s="4" t="s">
        <v>1032</v>
      </c>
    </row>
    <row r="366" customFormat="false" ht="15" hidden="false" customHeight="false" outlineLevel="0" collapsed="false">
      <c r="A366" s="0" t="s">
        <v>1288</v>
      </c>
      <c r="B366" s="0" t="s">
        <v>1289</v>
      </c>
      <c r="C366" s="0" t="s">
        <v>264</v>
      </c>
      <c r="D366" s="0" t="s">
        <v>53</v>
      </c>
      <c r="E366" s="0" t="s">
        <v>195</v>
      </c>
      <c r="F366" s="0" t="s">
        <v>75</v>
      </c>
      <c r="G366" s="0" t="s">
        <v>1290</v>
      </c>
      <c r="H366" s="0" t="s">
        <v>57</v>
      </c>
      <c r="I366" s="0" t="s">
        <v>523</v>
      </c>
      <c r="J366" s="0" t="s">
        <v>59</v>
      </c>
      <c r="K366" s="0" t="n">
        <v>4</v>
      </c>
      <c r="L366" s="0" t="n">
        <v>1</v>
      </c>
      <c r="M366" s="0" t="n">
        <v>2</v>
      </c>
      <c r="N366" s="0" t="n">
        <v>1</v>
      </c>
      <c r="O366" s="0" t="n">
        <f aca="false">SUM(K366:N366)</f>
        <v>8</v>
      </c>
      <c r="P366" s="0" t="str">
        <f aca="false">IF(O366&gt;=15,"Yes","No")</f>
        <v>No</v>
      </c>
      <c r="Q366" s="0" t="s">
        <v>159</v>
      </c>
      <c r="R366" s="2" t="n">
        <v>525000</v>
      </c>
      <c r="S366" s="3" t="n">
        <v>0.05</v>
      </c>
      <c r="T366" s="2" t="n">
        <f aca="false">R366*S366</f>
        <v>26250</v>
      </c>
      <c r="U366" s="4" t="s">
        <v>752</v>
      </c>
    </row>
    <row r="367" customFormat="false" ht="15" hidden="false" customHeight="false" outlineLevel="0" collapsed="false">
      <c r="A367" s="0" t="s">
        <v>1291</v>
      </c>
      <c r="B367" s="0" t="s">
        <v>1278</v>
      </c>
      <c r="C367" s="0" t="s">
        <v>129</v>
      </c>
      <c r="D367" s="0" t="s">
        <v>64</v>
      </c>
      <c r="E367" s="0" t="s">
        <v>105</v>
      </c>
      <c r="F367" s="0" t="s">
        <v>153</v>
      </c>
      <c r="G367" s="0" t="s">
        <v>205</v>
      </c>
      <c r="H367" s="0" t="s">
        <v>43</v>
      </c>
      <c r="I367" s="0" t="s">
        <v>271</v>
      </c>
      <c r="J367" s="0" t="s">
        <v>78</v>
      </c>
      <c r="K367" s="0" t="n">
        <v>3</v>
      </c>
      <c r="L367" s="0" t="n">
        <v>4</v>
      </c>
      <c r="M367" s="0" t="n">
        <v>5</v>
      </c>
      <c r="N367" s="0" t="n">
        <v>3</v>
      </c>
      <c r="O367" s="0" t="n">
        <f aca="false">SUM(K367:N367)</f>
        <v>15</v>
      </c>
      <c r="P367" s="0" t="str">
        <f aca="false">IF(O367&gt;=15,"Yes","No")</f>
        <v>Yes</v>
      </c>
      <c r="Q367" s="0" t="s">
        <v>46</v>
      </c>
      <c r="R367" s="2" t="n">
        <v>1923000</v>
      </c>
      <c r="S367" s="3" t="n">
        <v>0</v>
      </c>
      <c r="T367" s="2" t="n">
        <f aca="false">R367*S367</f>
        <v>0</v>
      </c>
      <c r="U367" s="4" t="s">
        <v>1063</v>
      </c>
      <c r="V367" s="4" t="s">
        <v>587</v>
      </c>
      <c r="W367" s="0" t="n">
        <v>36</v>
      </c>
      <c r="X367" s="4" t="s">
        <v>326</v>
      </c>
    </row>
    <row r="368" customFormat="false" ht="15" hidden="false" customHeight="false" outlineLevel="0" collapsed="false">
      <c r="A368" s="0" t="s">
        <v>1292</v>
      </c>
      <c r="B368" s="0" t="s">
        <v>1293</v>
      </c>
      <c r="C368" s="0" t="s">
        <v>26</v>
      </c>
      <c r="D368" s="0" t="s">
        <v>53</v>
      </c>
      <c r="E368" s="0" t="s">
        <v>28</v>
      </c>
      <c r="F368" s="0" t="s">
        <v>29</v>
      </c>
      <c r="G368" s="0" t="s">
        <v>236</v>
      </c>
      <c r="H368" s="0" t="s">
        <v>43</v>
      </c>
      <c r="I368" s="0" t="s">
        <v>1294</v>
      </c>
      <c r="J368" s="0" t="s">
        <v>33</v>
      </c>
      <c r="K368" s="0" t="n">
        <v>5</v>
      </c>
      <c r="L368" s="0" t="n">
        <v>4</v>
      </c>
      <c r="M368" s="0" t="n">
        <v>4</v>
      </c>
      <c r="N368" s="0" t="n">
        <v>3</v>
      </c>
      <c r="O368" s="0" t="n">
        <f aca="false">SUM(K368:N368)</f>
        <v>16</v>
      </c>
      <c r="P368" s="0" t="str">
        <f aca="false">IF(O368&gt;=15,"Yes","No")</f>
        <v>Yes</v>
      </c>
      <c r="Q368" s="0" t="s">
        <v>34</v>
      </c>
      <c r="R368" s="2" t="n">
        <v>893000</v>
      </c>
      <c r="S368" s="3" t="n">
        <v>1</v>
      </c>
      <c r="T368" s="2" t="n">
        <f aca="false">R368*S368</f>
        <v>893000</v>
      </c>
      <c r="U368" s="4" t="s">
        <v>819</v>
      </c>
      <c r="V368" s="4" t="s">
        <v>1295</v>
      </c>
      <c r="W368" s="0" t="n">
        <v>31</v>
      </c>
    </row>
    <row r="369" customFormat="false" ht="15" hidden="false" customHeight="false" outlineLevel="0" collapsed="false">
      <c r="A369" s="0" t="s">
        <v>1296</v>
      </c>
      <c r="B369" s="0" t="s">
        <v>579</v>
      </c>
      <c r="C369" s="0" t="s">
        <v>152</v>
      </c>
      <c r="D369" s="0" t="s">
        <v>53</v>
      </c>
      <c r="E369" s="0" t="s">
        <v>178</v>
      </c>
      <c r="F369" s="0" t="s">
        <v>153</v>
      </c>
      <c r="G369" s="0" t="s">
        <v>1073</v>
      </c>
      <c r="H369" s="0" t="s">
        <v>67</v>
      </c>
      <c r="I369" s="0" t="s">
        <v>666</v>
      </c>
      <c r="J369" s="0" t="s">
        <v>78</v>
      </c>
      <c r="K369" s="0" t="n">
        <v>4</v>
      </c>
      <c r="L369" s="0" t="n">
        <v>2</v>
      </c>
      <c r="M369" s="0" t="n">
        <v>2</v>
      </c>
      <c r="N369" s="0" t="n">
        <v>2</v>
      </c>
      <c r="O369" s="0" t="n">
        <f aca="false">SUM(K369:N369)</f>
        <v>10</v>
      </c>
      <c r="P369" s="0" t="str">
        <f aca="false">IF(O369&gt;=15,"Yes","No")</f>
        <v>No</v>
      </c>
      <c r="Q369" s="0" t="s">
        <v>159</v>
      </c>
      <c r="R369" s="2" t="n">
        <v>568000</v>
      </c>
      <c r="S369" s="3" t="n">
        <v>0.05</v>
      </c>
      <c r="T369" s="2" t="n">
        <f aca="false">R369*S369</f>
        <v>28400</v>
      </c>
      <c r="U369" s="4" t="s">
        <v>1297</v>
      </c>
    </row>
    <row r="370" customFormat="false" ht="15" hidden="false" customHeight="false" outlineLevel="0" collapsed="false">
      <c r="A370" s="0" t="s">
        <v>1298</v>
      </c>
      <c r="B370" s="0" t="s">
        <v>25</v>
      </c>
      <c r="C370" s="0" t="s">
        <v>152</v>
      </c>
      <c r="D370" s="0" t="s">
        <v>53</v>
      </c>
      <c r="E370" s="0" t="s">
        <v>92</v>
      </c>
      <c r="F370" s="0" t="s">
        <v>75</v>
      </c>
      <c r="G370" s="0" t="s">
        <v>492</v>
      </c>
      <c r="H370" s="0" t="s">
        <v>43</v>
      </c>
      <c r="I370" s="0" t="s">
        <v>895</v>
      </c>
      <c r="J370" s="0" t="s">
        <v>69</v>
      </c>
      <c r="K370" s="0" t="n">
        <v>4</v>
      </c>
      <c r="L370" s="0" t="n">
        <v>4</v>
      </c>
      <c r="M370" s="0" t="n">
        <v>4</v>
      </c>
      <c r="N370" s="0" t="n">
        <v>3</v>
      </c>
      <c r="O370" s="0" t="n">
        <f aca="false">SUM(K370:N370)</f>
        <v>15</v>
      </c>
      <c r="P370" s="0" t="str">
        <f aca="false">IF(O370&gt;=15,"Yes","No")</f>
        <v>Yes</v>
      </c>
      <c r="Q370" s="0" t="s">
        <v>60</v>
      </c>
      <c r="R370" s="2" t="n">
        <v>684000</v>
      </c>
      <c r="S370" s="3" t="n">
        <v>0.15</v>
      </c>
      <c r="T370" s="2" t="n">
        <f aca="false">R370*S370</f>
        <v>102600</v>
      </c>
      <c r="U370" s="4" t="s">
        <v>653</v>
      </c>
    </row>
    <row r="371" customFormat="false" ht="15" hidden="false" customHeight="false" outlineLevel="0" collapsed="false">
      <c r="A371" s="0" t="s">
        <v>1299</v>
      </c>
      <c r="B371" s="0" t="s">
        <v>368</v>
      </c>
      <c r="C371" s="0" t="s">
        <v>152</v>
      </c>
      <c r="D371" s="0" t="s">
        <v>27</v>
      </c>
      <c r="E371" s="0" t="s">
        <v>84</v>
      </c>
      <c r="F371" s="0" t="s">
        <v>55</v>
      </c>
      <c r="G371" s="0" t="s">
        <v>934</v>
      </c>
      <c r="H371" s="0" t="s">
        <v>43</v>
      </c>
      <c r="I371" s="0" t="s">
        <v>325</v>
      </c>
      <c r="J371" s="0" t="s">
        <v>45</v>
      </c>
      <c r="K371" s="0" t="n">
        <v>4</v>
      </c>
      <c r="L371" s="0" t="n">
        <v>2</v>
      </c>
      <c r="M371" s="0" t="n">
        <v>4</v>
      </c>
      <c r="N371" s="0" t="n">
        <v>2</v>
      </c>
      <c r="O371" s="0" t="n">
        <f aca="false">SUM(K371:N371)</f>
        <v>12</v>
      </c>
      <c r="P371" s="0" t="str">
        <f aca="false">IF(O371&gt;=15,"Yes","No")</f>
        <v>No</v>
      </c>
      <c r="Q371" s="0" t="s">
        <v>115</v>
      </c>
      <c r="R371" s="2" t="n">
        <v>251000</v>
      </c>
      <c r="S371" s="3" t="n">
        <v>0.35</v>
      </c>
      <c r="T371" s="2" t="n">
        <f aca="false">R371*S371</f>
        <v>87850</v>
      </c>
      <c r="U371" s="4" t="s">
        <v>207</v>
      </c>
    </row>
    <row r="372" customFormat="false" ht="15" hidden="false" customHeight="false" outlineLevel="0" collapsed="false">
      <c r="A372" s="0" t="s">
        <v>1300</v>
      </c>
      <c r="B372" s="0" t="s">
        <v>863</v>
      </c>
      <c r="C372" s="0" t="s">
        <v>39</v>
      </c>
      <c r="D372" s="0" t="s">
        <v>27</v>
      </c>
      <c r="E372" s="0" t="s">
        <v>119</v>
      </c>
      <c r="F372" s="0" t="s">
        <v>75</v>
      </c>
      <c r="G372" s="0" t="s">
        <v>1016</v>
      </c>
      <c r="H372" s="0" t="s">
        <v>86</v>
      </c>
      <c r="I372" s="0" t="s">
        <v>451</v>
      </c>
      <c r="J372" s="0" t="s">
        <v>78</v>
      </c>
      <c r="K372" s="0" t="n">
        <v>1</v>
      </c>
      <c r="L372" s="0" t="n">
        <v>2</v>
      </c>
      <c r="M372" s="0" t="n">
        <v>1</v>
      </c>
      <c r="N372" s="0" t="n">
        <v>4</v>
      </c>
      <c r="O372" s="0" t="n">
        <f aca="false">SUM(K372:N372)</f>
        <v>8</v>
      </c>
      <c r="P372" s="0" t="str">
        <f aca="false">IF(O372&gt;=15,"Yes","No")</f>
        <v>No</v>
      </c>
      <c r="Q372" s="0" t="s">
        <v>159</v>
      </c>
      <c r="R372" s="2" t="n">
        <v>163000</v>
      </c>
      <c r="S372" s="3" t="n">
        <v>0.05</v>
      </c>
      <c r="T372" s="2" t="n">
        <f aca="false">R372*S372</f>
        <v>8150</v>
      </c>
      <c r="U372" s="4" t="s">
        <v>1141</v>
      </c>
    </row>
    <row r="373" customFormat="false" ht="15" hidden="false" customHeight="false" outlineLevel="0" collapsed="false">
      <c r="A373" s="0" t="s">
        <v>1301</v>
      </c>
      <c r="B373" s="0" t="s">
        <v>968</v>
      </c>
      <c r="C373" s="0" t="s">
        <v>39</v>
      </c>
      <c r="D373" s="0" t="s">
        <v>53</v>
      </c>
      <c r="E373" s="0" t="s">
        <v>111</v>
      </c>
      <c r="F373" s="0" t="s">
        <v>41</v>
      </c>
      <c r="G373" s="0" t="s">
        <v>1302</v>
      </c>
      <c r="H373" s="0" t="s">
        <v>86</v>
      </c>
      <c r="I373" s="0" t="s">
        <v>1303</v>
      </c>
      <c r="J373" s="0" t="s">
        <v>33</v>
      </c>
      <c r="K373" s="0" t="n">
        <v>1</v>
      </c>
      <c r="L373" s="0" t="n">
        <v>2</v>
      </c>
      <c r="M373" s="0" t="n">
        <v>1</v>
      </c>
      <c r="N373" s="0" t="n">
        <v>2</v>
      </c>
      <c r="O373" s="0" t="n">
        <f aca="false">SUM(K373:N373)</f>
        <v>6</v>
      </c>
      <c r="P373" s="0" t="str">
        <f aca="false">IF(O373&gt;=15,"Yes","No")</f>
        <v>No</v>
      </c>
      <c r="Q373" s="0" t="s">
        <v>159</v>
      </c>
      <c r="R373" s="2" t="n">
        <v>529000</v>
      </c>
      <c r="S373" s="3" t="n">
        <v>0.05</v>
      </c>
      <c r="T373" s="2" t="n">
        <f aca="false">R373*S373</f>
        <v>26450</v>
      </c>
      <c r="U373" s="4" t="s">
        <v>288</v>
      </c>
    </row>
    <row r="374" customFormat="false" ht="15" hidden="false" customHeight="false" outlineLevel="0" collapsed="false">
      <c r="A374" s="0" t="s">
        <v>1304</v>
      </c>
      <c r="B374" s="0" t="s">
        <v>1289</v>
      </c>
      <c r="C374" s="0" t="s">
        <v>74</v>
      </c>
      <c r="D374" s="0" t="s">
        <v>53</v>
      </c>
      <c r="E374" s="0" t="s">
        <v>178</v>
      </c>
      <c r="F374" s="0" t="s">
        <v>41</v>
      </c>
      <c r="G374" s="0" t="s">
        <v>1073</v>
      </c>
      <c r="H374" s="0" t="s">
        <v>248</v>
      </c>
      <c r="I374" s="0" t="s">
        <v>102</v>
      </c>
      <c r="J374" s="0" t="s">
        <v>69</v>
      </c>
      <c r="K374" s="0" t="n">
        <v>3</v>
      </c>
      <c r="L374" s="0" t="n">
        <v>3</v>
      </c>
      <c r="M374" s="0" t="n">
        <v>4</v>
      </c>
      <c r="N374" s="0" t="n">
        <v>3</v>
      </c>
      <c r="O374" s="0" t="n">
        <f aca="false">SUM(K374:N374)</f>
        <v>13</v>
      </c>
      <c r="P374" s="0" t="str">
        <f aca="false">IF(O374&gt;=15,"Yes","No")</f>
        <v>No</v>
      </c>
      <c r="Q374" s="0" t="s">
        <v>60</v>
      </c>
      <c r="R374" s="2" t="n">
        <v>795000</v>
      </c>
      <c r="S374" s="3" t="n">
        <v>0.15</v>
      </c>
      <c r="T374" s="2" t="n">
        <f aca="false">R374*S374</f>
        <v>119250</v>
      </c>
      <c r="U374" s="4" t="s">
        <v>347</v>
      </c>
    </row>
    <row r="375" customFormat="false" ht="15" hidden="false" customHeight="false" outlineLevel="0" collapsed="false">
      <c r="A375" s="0" t="s">
        <v>1305</v>
      </c>
      <c r="B375" s="0" t="s">
        <v>91</v>
      </c>
      <c r="C375" s="0" t="s">
        <v>264</v>
      </c>
      <c r="D375" s="0" t="s">
        <v>27</v>
      </c>
      <c r="E375" s="0" t="s">
        <v>111</v>
      </c>
      <c r="F375" s="0" t="s">
        <v>55</v>
      </c>
      <c r="G375" s="0" t="s">
        <v>113</v>
      </c>
      <c r="H375" s="0" t="s">
        <v>57</v>
      </c>
      <c r="I375" s="0" t="s">
        <v>1217</v>
      </c>
      <c r="J375" s="0" t="s">
        <v>33</v>
      </c>
      <c r="K375" s="0" t="n">
        <v>4</v>
      </c>
      <c r="L375" s="0" t="n">
        <v>1</v>
      </c>
      <c r="M375" s="0" t="n">
        <v>4</v>
      </c>
      <c r="N375" s="0" t="n">
        <v>3</v>
      </c>
      <c r="O375" s="0" t="n">
        <f aca="false">SUM(K375:N375)</f>
        <v>12</v>
      </c>
      <c r="P375" s="0" t="str">
        <f aca="false">IF(O375&gt;=15,"Yes","No")</f>
        <v>No</v>
      </c>
      <c r="Q375" s="0" t="s">
        <v>159</v>
      </c>
      <c r="R375" s="2" t="n">
        <v>203000</v>
      </c>
      <c r="S375" s="3" t="n">
        <v>0.05</v>
      </c>
      <c r="T375" s="2" t="n">
        <f aca="false">R375*S375</f>
        <v>10150</v>
      </c>
      <c r="U375" s="4" t="s">
        <v>307</v>
      </c>
    </row>
    <row r="376" customFormat="false" ht="15" hidden="false" customHeight="false" outlineLevel="0" collapsed="false">
      <c r="A376" s="0" t="s">
        <v>1306</v>
      </c>
      <c r="B376" s="0" t="s">
        <v>433</v>
      </c>
      <c r="C376" s="0" t="s">
        <v>74</v>
      </c>
      <c r="D376" s="0" t="s">
        <v>27</v>
      </c>
      <c r="E376" s="0" t="s">
        <v>195</v>
      </c>
      <c r="F376" s="0" t="s">
        <v>112</v>
      </c>
      <c r="G376" s="0" t="s">
        <v>864</v>
      </c>
      <c r="H376" s="0" t="s">
        <v>57</v>
      </c>
      <c r="I376" s="0" t="s">
        <v>1032</v>
      </c>
      <c r="J376" s="0" t="s">
        <v>69</v>
      </c>
      <c r="K376" s="0" t="n">
        <v>1</v>
      </c>
      <c r="L376" s="0" t="n">
        <v>2</v>
      </c>
      <c r="M376" s="0" t="n">
        <v>2</v>
      </c>
      <c r="N376" s="0" t="n">
        <v>2</v>
      </c>
      <c r="O376" s="0" t="n">
        <f aca="false">SUM(K376:N376)</f>
        <v>7</v>
      </c>
      <c r="P376" s="0" t="str">
        <f aca="false">IF(O376&gt;=15,"Yes","No")</f>
        <v>No</v>
      </c>
      <c r="Q376" s="0" t="s">
        <v>60</v>
      </c>
      <c r="R376" s="2" t="n">
        <v>138000</v>
      </c>
      <c r="S376" s="3" t="n">
        <v>0.15</v>
      </c>
      <c r="T376" s="2" t="n">
        <f aca="false">R376*S376</f>
        <v>20700</v>
      </c>
      <c r="U376" s="4" t="s">
        <v>624</v>
      </c>
    </row>
    <row r="377" customFormat="false" ht="15" hidden="false" customHeight="false" outlineLevel="0" collapsed="false">
      <c r="A377" s="0" t="s">
        <v>1307</v>
      </c>
      <c r="B377" s="0" t="s">
        <v>776</v>
      </c>
      <c r="C377" s="0" t="s">
        <v>264</v>
      </c>
      <c r="D377" s="0" t="s">
        <v>27</v>
      </c>
      <c r="E377" s="0" t="s">
        <v>99</v>
      </c>
      <c r="F377" s="0" t="s">
        <v>179</v>
      </c>
      <c r="G377" s="0" t="s">
        <v>1308</v>
      </c>
      <c r="H377" s="0" t="s">
        <v>31</v>
      </c>
      <c r="I377" s="0" t="s">
        <v>139</v>
      </c>
      <c r="J377" s="0" t="s">
        <v>33</v>
      </c>
      <c r="K377" s="0" t="n">
        <v>2</v>
      </c>
      <c r="L377" s="0" t="n">
        <v>4</v>
      </c>
      <c r="M377" s="0" t="n">
        <v>4</v>
      </c>
      <c r="N377" s="0" t="n">
        <v>3</v>
      </c>
      <c r="O377" s="0" t="n">
        <f aca="false">SUM(K377:N377)</f>
        <v>13</v>
      </c>
      <c r="P377" s="0" t="str">
        <f aca="false">IF(O377&gt;=15,"Yes","No")</f>
        <v>No</v>
      </c>
      <c r="Q377" s="0" t="s">
        <v>159</v>
      </c>
      <c r="R377" s="2" t="n">
        <v>208000</v>
      </c>
      <c r="S377" s="3" t="n">
        <v>0.05</v>
      </c>
      <c r="T377" s="2" t="n">
        <f aca="false">R377*S377</f>
        <v>10400</v>
      </c>
      <c r="U377" s="4" t="s">
        <v>1309</v>
      </c>
    </row>
    <row r="378" customFormat="false" ht="15" hidden="false" customHeight="false" outlineLevel="0" collapsed="false">
      <c r="A378" s="0" t="s">
        <v>1310</v>
      </c>
      <c r="B378" s="0" t="s">
        <v>1046</v>
      </c>
      <c r="C378" s="0" t="s">
        <v>39</v>
      </c>
      <c r="D378" s="0" t="s">
        <v>64</v>
      </c>
      <c r="E378" s="0" t="s">
        <v>178</v>
      </c>
      <c r="F378" s="0" t="s">
        <v>153</v>
      </c>
      <c r="G378" s="0" t="s">
        <v>1311</v>
      </c>
      <c r="H378" s="0" t="s">
        <v>67</v>
      </c>
      <c r="I378" s="0" t="s">
        <v>356</v>
      </c>
      <c r="J378" s="0" t="s">
        <v>59</v>
      </c>
      <c r="K378" s="0" t="n">
        <v>5</v>
      </c>
      <c r="L378" s="0" t="n">
        <v>2</v>
      </c>
      <c r="M378" s="0" t="n">
        <v>2</v>
      </c>
      <c r="N378" s="0" t="n">
        <v>3</v>
      </c>
      <c r="O378" s="0" t="n">
        <f aca="false">SUM(K378:N378)</f>
        <v>12</v>
      </c>
      <c r="P378" s="0" t="str">
        <f aca="false">IF(O378&gt;=15,"Yes","No")</f>
        <v>No</v>
      </c>
      <c r="Q378" s="0" t="s">
        <v>159</v>
      </c>
      <c r="R378" s="2" t="n">
        <v>3051000</v>
      </c>
      <c r="S378" s="3" t="n">
        <v>0.05</v>
      </c>
      <c r="T378" s="2" t="n">
        <f aca="false">R378*S378</f>
        <v>152550</v>
      </c>
      <c r="U378" s="4" t="s">
        <v>671</v>
      </c>
    </row>
    <row r="379" customFormat="false" ht="15" hidden="false" customHeight="false" outlineLevel="0" collapsed="false">
      <c r="A379" s="0" t="s">
        <v>1312</v>
      </c>
      <c r="B379" s="0" t="s">
        <v>585</v>
      </c>
      <c r="C379" s="0" t="s">
        <v>264</v>
      </c>
      <c r="D379" s="0" t="s">
        <v>64</v>
      </c>
      <c r="E379" s="0" t="s">
        <v>322</v>
      </c>
      <c r="F379" s="0" t="s">
        <v>153</v>
      </c>
      <c r="G379" s="0" t="s">
        <v>620</v>
      </c>
      <c r="H379" s="0" t="s">
        <v>86</v>
      </c>
      <c r="I379" s="0" t="s">
        <v>621</v>
      </c>
      <c r="J379" s="0" t="s">
        <v>69</v>
      </c>
      <c r="K379" s="0" t="n">
        <v>2</v>
      </c>
      <c r="L379" s="0" t="n">
        <v>2</v>
      </c>
      <c r="M379" s="0" t="n">
        <v>2</v>
      </c>
      <c r="N379" s="0" t="n">
        <v>1</v>
      </c>
      <c r="O379" s="0" t="n">
        <f aca="false">SUM(K379:N379)</f>
        <v>7</v>
      </c>
      <c r="P379" s="0" t="str">
        <f aca="false">IF(O379&gt;=15,"Yes","No")</f>
        <v>No</v>
      </c>
      <c r="Q379" s="0" t="s">
        <v>159</v>
      </c>
      <c r="R379" s="2" t="n">
        <v>1776000</v>
      </c>
      <c r="S379" s="3" t="n">
        <v>0.05</v>
      </c>
      <c r="T379" s="2" t="n">
        <f aca="false">R379*S379</f>
        <v>88800</v>
      </c>
      <c r="U379" s="4" t="s">
        <v>107</v>
      </c>
    </row>
    <row r="380" customFormat="false" ht="15" hidden="false" customHeight="false" outlineLevel="0" collapsed="false">
      <c r="A380" s="0" t="s">
        <v>1313</v>
      </c>
      <c r="B380" s="0" t="s">
        <v>1252</v>
      </c>
      <c r="C380" s="0" t="s">
        <v>74</v>
      </c>
      <c r="D380" s="0" t="s">
        <v>53</v>
      </c>
      <c r="E380" s="0" t="s">
        <v>215</v>
      </c>
      <c r="F380" s="0" t="s">
        <v>112</v>
      </c>
      <c r="G380" s="0" t="s">
        <v>1314</v>
      </c>
      <c r="H380" s="0" t="s">
        <v>248</v>
      </c>
      <c r="I380" s="0" t="s">
        <v>169</v>
      </c>
      <c r="J380" s="0" t="s">
        <v>59</v>
      </c>
      <c r="K380" s="0" t="n">
        <v>1</v>
      </c>
      <c r="L380" s="0" t="n">
        <v>2</v>
      </c>
      <c r="M380" s="0" t="n">
        <v>3</v>
      </c>
      <c r="N380" s="0" t="n">
        <v>4</v>
      </c>
      <c r="O380" s="0" t="n">
        <f aca="false">SUM(K380:N380)</f>
        <v>10</v>
      </c>
      <c r="P380" s="0" t="str">
        <f aca="false">IF(O380&gt;=15,"Yes","No")</f>
        <v>No</v>
      </c>
      <c r="Q380" s="0" t="s">
        <v>60</v>
      </c>
      <c r="R380" s="2" t="n">
        <v>767000</v>
      </c>
      <c r="S380" s="3" t="n">
        <v>0.15</v>
      </c>
      <c r="T380" s="2" t="n">
        <f aca="false">R380*S380</f>
        <v>115050</v>
      </c>
      <c r="U380" s="4" t="s">
        <v>1315</v>
      </c>
    </row>
    <row r="381" customFormat="false" ht="15" hidden="false" customHeight="false" outlineLevel="0" collapsed="false">
      <c r="A381" s="0" t="s">
        <v>1316</v>
      </c>
      <c r="B381" s="0" t="s">
        <v>1317</v>
      </c>
      <c r="C381" s="0" t="s">
        <v>74</v>
      </c>
      <c r="D381" s="0" t="s">
        <v>27</v>
      </c>
      <c r="E381" s="0" t="s">
        <v>142</v>
      </c>
      <c r="F381" s="0" t="s">
        <v>55</v>
      </c>
      <c r="G381" s="0" t="s">
        <v>1264</v>
      </c>
      <c r="H381" s="0" t="s">
        <v>57</v>
      </c>
      <c r="I381" s="0" t="s">
        <v>1207</v>
      </c>
      <c r="J381" s="0" t="s">
        <v>33</v>
      </c>
      <c r="K381" s="0" t="n">
        <v>2</v>
      </c>
      <c r="L381" s="0" t="n">
        <v>1</v>
      </c>
      <c r="M381" s="0" t="n">
        <v>1</v>
      </c>
      <c r="N381" s="0" t="n">
        <v>1</v>
      </c>
      <c r="O381" s="0" t="n">
        <f aca="false">SUM(K381:N381)</f>
        <v>5</v>
      </c>
      <c r="P381" s="0" t="str">
        <f aca="false">IF(O381&gt;=15,"Yes","No")</f>
        <v>No</v>
      </c>
      <c r="Q381" s="0" t="s">
        <v>159</v>
      </c>
      <c r="R381" s="2" t="n">
        <v>156000</v>
      </c>
      <c r="S381" s="3" t="n">
        <v>0.05</v>
      </c>
      <c r="T381" s="2" t="n">
        <f aca="false">R381*S381</f>
        <v>7800</v>
      </c>
      <c r="U381" s="4" t="s">
        <v>87</v>
      </c>
    </row>
    <row r="382" customFormat="false" ht="15" hidden="false" customHeight="false" outlineLevel="0" collapsed="false">
      <c r="A382" s="0" t="s">
        <v>1318</v>
      </c>
      <c r="B382" s="0" t="s">
        <v>464</v>
      </c>
      <c r="C382" s="0" t="s">
        <v>184</v>
      </c>
      <c r="D382" s="0" t="s">
        <v>53</v>
      </c>
      <c r="E382" s="0" t="s">
        <v>178</v>
      </c>
      <c r="F382" s="0" t="s">
        <v>55</v>
      </c>
      <c r="G382" s="0" t="s">
        <v>908</v>
      </c>
      <c r="H382" s="0" t="s">
        <v>57</v>
      </c>
      <c r="I382" s="0" t="s">
        <v>1319</v>
      </c>
      <c r="J382" s="0" t="s">
        <v>78</v>
      </c>
      <c r="K382" s="0" t="n">
        <v>3</v>
      </c>
      <c r="L382" s="0" t="n">
        <v>3</v>
      </c>
      <c r="M382" s="0" t="n">
        <v>1</v>
      </c>
      <c r="N382" s="0" t="n">
        <v>3</v>
      </c>
      <c r="O382" s="0" t="n">
        <f aca="false">SUM(K382:N382)</f>
        <v>10</v>
      </c>
      <c r="P382" s="0" t="str">
        <f aca="false">IF(O382&gt;=15,"Yes","No")</f>
        <v>No</v>
      </c>
      <c r="Q382" s="0" t="s">
        <v>60</v>
      </c>
      <c r="R382" s="2" t="n">
        <v>755000</v>
      </c>
      <c r="S382" s="3" t="n">
        <v>0.15</v>
      </c>
      <c r="T382" s="2" t="n">
        <f aca="false">R382*S382</f>
        <v>113250</v>
      </c>
      <c r="U382" s="4" t="s">
        <v>1320</v>
      </c>
    </row>
    <row r="383" customFormat="false" ht="15" hidden="false" customHeight="false" outlineLevel="0" collapsed="false">
      <c r="A383" s="0" t="s">
        <v>1321</v>
      </c>
      <c r="B383" s="0" t="s">
        <v>51</v>
      </c>
      <c r="C383" s="0" t="s">
        <v>39</v>
      </c>
      <c r="D383" s="0" t="s">
        <v>27</v>
      </c>
      <c r="E383" s="0" t="s">
        <v>99</v>
      </c>
      <c r="F383" s="0" t="s">
        <v>75</v>
      </c>
      <c r="G383" s="0" t="s">
        <v>923</v>
      </c>
      <c r="H383" s="0" t="s">
        <v>248</v>
      </c>
      <c r="I383" s="0" t="s">
        <v>284</v>
      </c>
      <c r="J383" s="0" t="s">
        <v>69</v>
      </c>
      <c r="K383" s="0" t="n">
        <v>4</v>
      </c>
      <c r="L383" s="0" t="n">
        <v>4</v>
      </c>
      <c r="M383" s="0" t="n">
        <v>2</v>
      </c>
      <c r="N383" s="0" t="n">
        <v>2</v>
      </c>
      <c r="O383" s="0" t="n">
        <f aca="false">SUM(K383:N383)</f>
        <v>12</v>
      </c>
      <c r="P383" s="0" t="str">
        <f aca="false">IF(O383&gt;=15,"Yes","No")</f>
        <v>No</v>
      </c>
      <c r="Q383" s="0" t="s">
        <v>46</v>
      </c>
      <c r="R383" s="2" t="n">
        <v>140000</v>
      </c>
      <c r="S383" s="3" t="n">
        <v>0</v>
      </c>
      <c r="T383" s="2" t="n">
        <f aca="false">R383*S383</f>
        <v>0</v>
      </c>
      <c r="U383" s="4" t="s">
        <v>814</v>
      </c>
      <c r="V383" s="4" t="s">
        <v>1322</v>
      </c>
      <c r="W383" s="0" t="n">
        <v>19</v>
      </c>
      <c r="X383" s="4" t="s">
        <v>326</v>
      </c>
    </row>
    <row r="384" customFormat="false" ht="15" hidden="false" customHeight="false" outlineLevel="0" collapsed="false">
      <c r="A384" s="0" t="s">
        <v>1323</v>
      </c>
      <c r="B384" s="0" t="s">
        <v>1324</v>
      </c>
      <c r="C384" s="0" t="s">
        <v>264</v>
      </c>
      <c r="D384" s="0" t="s">
        <v>53</v>
      </c>
      <c r="E384" s="0" t="s">
        <v>142</v>
      </c>
      <c r="F384" s="0" t="s">
        <v>112</v>
      </c>
      <c r="G384" s="0" t="s">
        <v>856</v>
      </c>
      <c r="H384" s="0" t="s">
        <v>57</v>
      </c>
      <c r="I384" s="0" t="s">
        <v>962</v>
      </c>
      <c r="J384" s="0" t="s">
        <v>33</v>
      </c>
      <c r="K384" s="0" t="n">
        <v>2</v>
      </c>
      <c r="L384" s="0" t="n">
        <v>1</v>
      </c>
      <c r="M384" s="0" t="n">
        <v>3</v>
      </c>
      <c r="N384" s="0" t="n">
        <v>2</v>
      </c>
      <c r="O384" s="0" t="n">
        <f aca="false">SUM(K384:N384)</f>
        <v>8</v>
      </c>
      <c r="P384" s="0" t="str">
        <f aca="false">IF(O384&gt;=15,"Yes","No")</f>
        <v>No</v>
      </c>
      <c r="Q384" s="0" t="s">
        <v>34</v>
      </c>
      <c r="R384" s="2" t="n">
        <v>836000</v>
      </c>
      <c r="S384" s="3" t="n">
        <v>1</v>
      </c>
      <c r="T384" s="2" t="n">
        <f aca="false">R384*S384</f>
        <v>836000</v>
      </c>
      <c r="U384" s="4" t="s">
        <v>996</v>
      </c>
      <c r="V384" s="4" t="s">
        <v>963</v>
      </c>
      <c r="W384" s="0" t="n">
        <v>27</v>
      </c>
    </row>
    <row r="385" customFormat="false" ht="15" hidden="false" customHeight="false" outlineLevel="0" collapsed="false">
      <c r="A385" s="0" t="s">
        <v>1325</v>
      </c>
      <c r="B385" s="0" t="s">
        <v>381</v>
      </c>
      <c r="C385" s="0" t="s">
        <v>74</v>
      </c>
      <c r="D385" s="0" t="s">
        <v>53</v>
      </c>
      <c r="E385" s="0" t="s">
        <v>54</v>
      </c>
      <c r="F385" s="0" t="s">
        <v>112</v>
      </c>
      <c r="G385" s="0" t="s">
        <v>503</v>
      </c>
      <c r="H385" s="0" t="s">
        <v>86</v>
      </c>
      <c r="I385" s="0" t="s">
        <v>1230</v>
      </c>
      <c r="J385" s="0" t="s">
        <v>78</v>
      </c>
      <c r="K385" s="0" t="n">
        <v>1</v>
      </c>
      <c r="L385" s="0" t="n">
        <v>1</v>
      </c>
      <c r="M385" s="0" t="n">
        <v>1</v>
      </c>
      <c r="N385" s="0" t="n">
        <v>1</v>
      </c>
      <c r="O385" s="0" t="n">
        <f aca="false">SUM(K385:N385)</f>
        <v>4</v>
      </c>
      <c r="P385" s="0" t="str">
        <f aca="false">IF(O385&gt;=15,"Yes","No")</f>
        <v>No</v>
      </c>
      <c r="Q385" s="0" t="s">
        <v>159</v>
      </c>
      <c r="R385" s="2" t="n">
        <v>883000</v>
      </c>
      <c r="S385" s="3" t="n">
        <v>0.05</v>
      </c>
      <c r="T385" s="2" t="n">
        <f aca="false">R385*S385</f>
        <v>44150</v>
      </c>
      <c r="U385" s="4" t="s">
        <v>1255</v>
      </c>
    </row>
    <row r="386" customFormat="false" ht="15" hidden="false" customHeight="false" outlineLevel="0" collapsed="false">
      <c r="A386" s="0" t="s">
        <v>1326</v>
      </c>
      <c r="B386" s="0" t="s">
        <v>1275</v>
      </c>
      <c r="C386" s="0" t="s">
        <v>39</v>
      </c>
      <c r="D386" s="0" t="s">
        <v>53</v>
      </c>
      <c r="E386" s="0" t="s">
        <v>54</v>
      </c>
      <c r="F386" s="0" t="s">
        <v>179</v>
      </c>
      <c r="G386" s="0" t="s">
        <v>365</v>
      </c>
      <c r="H386" s="0" t="s">
        <v>67</v>
      </c>
      <c r="I386" s="0" t="s">
        <v>309</v>
      </c>
      <c r="J386" s="0" t="s">
        <v>69</v>
      </c>
      <c r="K386" s="0" t="n">
        <v>4</v>
      </c>
      <c r="L386" s="0" t="n">
        <v>2</v>
      </c>
      <c r="M386" s="0" t="n">
        <v>5</v>
      </c>
      <c r="N386" s="0" t="n">
        <v>2</v>
      </c>
      <c r="O386" s="0" t="n">
        <f aca="false">SUM(K386:N386)</f>
        <v>13</v>
      </c>
      <c r="P386" s="0" t="str">
        <f aca="false">IF(O386&gt;=15,"Yes","No")</f>
        <v>No</v>
      </c>
      <c r="Q386" s="0" t="s">
        <v>159</v>
      </c>
      <c r="R386" s="2" t="n">
        <v>839000</v>
      </c>
      <c r="S386" s="3" t="n">
        <v>0.05</v>
      </c>
      <c r="T386" s="2" t="n">
        <f aca="false">R386*S386</f>
        <v>41950</v>
      </c>
      <c r="U386" s="4" t="s">
        <v>1327</v>
      </c>
    </row>
    <row r="387" customFormat="false" ht="15" hidden="false" customHeight="false" outlineLevel="0" collapsed="false">
      <c r="A387" s="0" t="s">
        <v>1328</v>
      </c>
      <c r="B387" s="0" t="s">
        <v>214</v>
      </c>
      <c r="C387" s="0" t="s">
        <v>184</v>
      </c>
      <c r="D387" s="0" t="s">
        <v>53</v>
      </c>
      <c r="E387" s="0" t="s">
        <v>119</v>
      </c>
      <c r="F387" s="0" t="s">
        <v>55</v>
      </c>
      <c r="G387" s="0" t="s">
        <v>1329</v>
      </c>
      <c r="H387" s="0" t="s">
        <v>43</v>
      </c>
      <c r="I387" s="0" t="s">
        <v>810</v>
      </c>
      <c r="J387" s="0" t="s">
        <v>59</v>
      </c>
      <c r="K387" s="0" t="n">
        <v>3</v>
      </c>
      <c r="L387" s="0" t="n">
        <v>3</v>
      </c>
      <c r="M387" s="0" t="n">
        <v>3</v>
      </c>
      <c r="N387" s="0" t="n">
        <v>4</v>
      </c>
      <c r="O387" s="0" t="n">
        <f aca="false">SUM(K387:N387)</f>
        <v>13</v>
      </c>
      <c r="P387" s="0" t="str">
        <f aca="false">IF(O387&gt;=15,"Yes","No")</f>
        <v>No</v>
      </c>
      <c r="Q387" s="0" t="s">
        <v>46</v>
      </c>
      <c r="R387" s="2" t="n">
        <v>533000</v>
      </c>
      <c r="S387" s="3" t="n">
        <v>0</v>
      </c>
      <c r="T387" s="2" t="n">
        <f aca="false">R387*S387</f>
        <v>0</v>
      </c>
      <c r="U387" s="4" t="s">
        <v>95</v>
      </c>
      <c r="V387" s="4" t="s">
        <v>588</v>
      </c>
      <c r="W387" s="0" t="n">
        <v>15</v>
      </c>
      <c r="X387" s="4" t="s">
        <v>326</v>
      </c>
    </row>
    <row r="388" customFormat="false" ht="15" hidden="false" customHeight="false" outlineLevel="0" collapsed="false">
      <c r="A388" s="0" t="s">
        <v>1330</v>
      </c>
      <c r="B388" s="0" t="s">
        <v>776</v>
      </c>
      <c r="C388" s="0" t="s">
        <v>184</v>
      </c>
      <c r="D388" s="0" t="s">
        <v>53</v>
      </c>
      <c r="E388" s="0" t="s">
        <v>54</v>
      </c>
      <c r="F388" s="0" t="s">
        <v>112</v>
      </c>
      <c r="G388" s="0" t="s">
        <v>313</v>
      </c>
      <c r="H388" s="0" t="s">
        <v>67</v>
      </c>
      <c r="I388" s="0" t="s">
        <v>1331</v>
      </c>
      <c r="J388" s="0" t="s">
        <v>69</v>
      </c>
      <c r="K388" s="0" t="n">
        <v>1</v>
      </c>
      <c r="L388" s="0" t="n">
        <v>1</v>
      </c>
      <c r="M388" s="0" t="n">
        <v>2</v>
      </c>
      <c r="N388" s="0" t="n">
        <v>2</v>
      </c>
      <c r="O388" s="0" t="n">
        <f aca="false">SUM(K388:N388)</f>
        <v>6</v>
      </c>
      <c r="P388" s="0" t="str">
        <f aca="false">IF(O388&gt;=15,"Yes","No")</f>
        <v>No</v>
      </c>
      <c r="Q388" s="0" t="s">
        <v>60</v>
      </c>
      <c r="R388" s="2" t="n">
        <v>859000</v>
      </c>
      <c r="S388" s="3" t="n">
        <v>0.15</v>
      </c>
      <c r="T388" s="2" t="n">
        <f aca="false">R388*S388</f>
        <v>128850</v>
      </c>
      <c r="U388" s="4" t="s">
        <v>942</v>
      </c>
    </row>
    <row r="389" customFormat="false" ht="15" hidden="false" customHeight="false" outlineLevel="0" collapsed="false">
      <c r="A389" s="0" t="s">
        <v>1332</v>
      </c>
      <c r="B389" s="0" t="s">
        <v>1324</v>
      </c>
      <c r="C389" s="0" t="s">
        <v>74</v>
      </c>
      <c r="D389" s="0" t="s">
        <v>53</v>
      </c>
      <c r="E389" s="0" t="s">
        <v>111</v>
      </c>
      <c r="F389" s="0" t="s">
        <v>112</v>
      </c>
      <c r="G389" s="0" t="s">
        <v>1095</v>
      </c>
      <c r="H389" s="0" t="s">
        <v>86</v>
      </c>
      <c r="I389" s="0" t="s">
        <v>1217</v>
      </c>
      <c r="J389" s="0" t="s">
        <v>45</v>
      </c>
      <c r="K389" s="0" t="n">
        <v>1</v>
      </c>
      <c r="L389" s="0" t="n">
        <v>1</v>
      </c>
      <c r="M389" s="0" t="n">
        <v>2</v>
      </c>
      <c r="N389" s="0" t="n">
        <v>2</v>
      </c>
      <c r="O389" s="0" t="n">
        <f aca="false">SUM(K389:N389)</f>
        <v>6</v>
      </c>
      <c r="P389" s="0" t="str">
        <f aca="false">IF(O389&gt;=15,"Yes","No")</f>
        <v>No</v>
      </c>
      <c r="Q389" s="0" t="s">
        <v>159</v>
      </c>
      <c r="R389" s="2" t="n">
        <v>784000</v>
      </c>
      <c r="S389" s="3" t="n">
        <v>0.05</v>
      </c>
      <c r="T389" s="2" t="n">
        <f aca="false">R389*S389</f>
        <v>39200</v>
      </c>
      <c r="U389" s="4" t="s">
        <v>653</v>
      </c>
    </row>
    <row r="390" customFormat="false" ht="15" hidden="false" customHeight="false" outlineLevel="0" collapsed="false">
      <c r="A390" s="0" t="s">
        <v>1333</v>
      </c>
      <c r="B390" s="0" t="s">
        <v>571</v>
      </c>
      <c r="C390" s="0" t="s">
        <v>26</v>
      </c>
      <c r="D390" s="0" t="s">
        <v>53</v>
      </c>
      <c r="E390" s="0" t="s">
        <v>105</v>
      </c>
      <c r="F390" s="0" t="s">
        <v>29</v>
      </c>
      <c r="G390" s="0" t="s">
        <v>1334</v>
      </c>
      <c r="H390" s="0" t="s">
        <v>67</v>
      </c>
      <c r="I390" s="0" t="s">
        <v>329</v>
      </c>
      <c r="J390" s="0" t="s">
        <v>45</v>
      </c>
      <c r="K390" s="0" t="n">
        <v>4</v>
      </c>
      <c r="L390" s="0" t="n">
        <v>3</v>
      </c>
      <c r="M390" s="0" t="n">
        <v>2</v>
      </c>
      <c r="N390" s="0" t="n">
        <v>4</v>
      </c>
      <c r="O390" s="0" t="n">
        <f aca="false">SUM(K390:N390)</f>
        <v>13</v>
      </c>
      <c r="P390" s="0" t="str">
        <f aca="false">IF(O390&gt;=15,"Yes","No")</f>
        <v>No</v>
      </c>
      <c r="Q390" s="0" t="s">
        <v>60</v>
      </c>
      <c r="R390" s="2" t="n">
        <v>655000</v>
      </c>
      <c r="S390" s="3" t="n">
        <v>0.15</v>
      </c>
      <c r="T390" s="2" t="n">
        <f aca="false">R390*S390</f>
        <v>98250</v>
      </c>
      <c r="U390" s="4" t="s">
        <v>107</v>
      </c>
    </row>
    <row r="391" customFormat="false" ht="15" hidden="false" customHeight="false" outlineLevel="0" collapsed="false">
      <c r="A391" s="0" t="s">
        <v>1335</v>
      </c>
      <c r="B391" s="0" t="s">
        <v>1336</v>
      </c>
      <c r="C391" s="0" t="s">
        <v>52</v>
      </c>
      <c r="D391" s="0" t="s">
        <v>27</v>
      </c>
      <c r="E391" s="0" t="s">
        <v>111</v>
      </c>
      <c r="F391" s="0" t="s">
        <v>112</v>
      </c>
      <c r="G391" s="0" t="s">
        <v>328</v>
      </c>
      <c r="H391" s="0" t="s">
        <v>43</v>
      </c>
      <c r="I391" s="0" t="s">
        <v>914</v>
      </c>
      <c r="J391" s="0" t="s">
        <v>78</v>
      </c>
      <c r="K391" s="0" t="n">
        <v>5</v>
      </c>
      <c r="L391" s="0" t="n">
        <v>5</v>
      </c>
      <c r="M391" s="0" t="n">
        <v>4</v>
      </c>
      <c r="N391" s="0" t="n">
        <v>5</v>
      </c>
      <c r="O391" s="0" t="n">
        <f aca="false">SUM(K391:N391)</f>
        <v>19</v>
      </c>
      <c r="P391" s="0" t="str">
        <f aca="false">IF(O391&gt;=15,"Yes","No")</f>
        <v>Yes</v>
      </c>
      <c r="Q391" s="0" t="s">
        <v>60</v>
      </c>
      <c r="R391" s="2" t="n">
        <v>203000</v>
      </c>
      <c r="S391" s="3" t="n">
        <v>0.15</v>
      </c>
      <c r="T391" s="2" t="n">
        <f aca="false">R391*S391</f>
        <v>30450</v>
      </c>
      <c r="U391" s="4" t="s">
        <v>618</v>
      </c>
    </row>
    <row r="392" customFormat="false" ht="15" hidden="false" customHeight="false" outlineLevel="0" collapsed="false">
      <c r="A392" s="0" t="s">
        <v>1337</v>
      </c>
      <c r="B392" s="0" t="s">
        <v>473</v>
      </c>
      <c r="C392" s="0" t="s">
        <v>26</v>
      </c>
      <c r="D392" s="0" t="s">
        <v>27</v>
      </c>
      <c r="E392" s="0" t="s">
        <v>111</v>
      </c>
      <c r="F392" s="0" t="s">
        <v>130</v>
      </c>
      <c r="G392" s="0" t="s">
        <v>1338</v>
      </c>
      <c r="H392" s="0" t="s">
        <v>31</v>
      </c>
      <c r="I392" s="0" t="s">
        <v>1087</v>
      </c>
      <c r="J392" s="0" t="s">
        <v>78</v>
      </c>
      <c r="K392" s="0" t="n">
        <v>3</v>
      </c>
      <c r="L392" s="0" t="n">
        <v>2</v>
      </c>
      <c r="M392" s="0" t="n">
        <v>3</v>
      </c>
      <c r="N392" s="0" t="n">
        <v>3</v>
      </c>
      <c r="O392" s="0" t="n">
        <f aca="false">SUM(K392:N392)</f>
        <v>11</v>
      </c>
      <c r="P392" s="0" t="str">
        <f aca="false">IF(O392&gt;=15,"Yes","No")</f>
        <v>No</v>
      </c>
      <c r="Q392" s="0" t="s">
        <v>60</v>
      </c>
      <c r="R392" s="2" t="n">
        <v>168000</v>
      </c>
      <c r="S392" s="3" t="n">
        <v>0.15</v>
      </c>
      <c r="T392" s="2" t="n">
        <f aca="false">R392*S392</f>
        <v>25200</v>
      </c>
      <c r="U392" s="4" t="s">
        <v>733</v>
      </c>
    </row>
    <row r="393" customFormat="false" ht="15" hidden="false" customHeight="false" outlineLevel="0" collapsed="false">
      <c r="A393" s="0" t="s">
        <v>1339</v>
      </c>
      <c r="B393" s="0" t="s">
        <v>1151</v>
      </c>
      <c r="C393" s="0" t="s">
        <v>74</v>
      </c>
      <c r="D393" s="0" t="s">
        <v>53</v>
      </c>
      <c r="E393" s="0" t="s">
        <v>195</v>
      </c>
      <c r="F393" s="0" t="s">
        <v>75</v>
      </c>
      <c r="G393" s="0" t="s">
        <v>396</v>
      </c>
      <c r="H393" s="0" t="s">
        <v>43</v>
      </c>
      <c r="I393" s="0" t="s">
        <v>834</v>
      </c>
      <c r="J393" s="0" t="s">
        <v>45</v>
      </c>
      <c r="K393" s="0" t="n">
        <v>5</v>
      </c>
      <c r="L393" s="0" t="n">
        <v>5</v>
      </c>
      <c r="M393" s="0" t="n">
        <v>2</v>
      </c>
      <c r="N393" s="0" t="n">
        <v>4</v>
      </c>
      <c r="O393" s="0" t="n">
        <f aca="false">SUM(K393:N393)</f>
        <v>16</v>
      </c>
      <c r="P393" s="0" t="str">
        <f aca="false">IF(O393&gt;=15,"Yes","No")</f>
        <v>Yes</v>
      </c>
      <c r="Q393" s="0" t="s">
        <v>60</v>
      </c>
      <c r="R393" s="2" t="n">
        <v>672000</v>
      </c>
      <c r="S393" s="3" t="n">
        <v>0.15</v>
      </c>
      <c r="T393" s="2" t="n">
        <f aca="false">R393*S393</f>
        <v>100800</v>
      </c>
      <c r="U393" s="4" t="s">
        <v>912</v>
      </c>
    </row>
    <row r="394" customFormat="false" ht="15" hidden="false" customHeight="false" outlineLevel="0" collapsed="false">
      <c r="A394" s="0" t="s">
        <v>1340</v>
      </c>
      <c r="B394" s="0" t="s">
        <v>1061</v>
      </c>
      <c r="C394" s="0" t="s">
        <v>74</v>
      </c>
      <c r="D394" s="0" t="s">
        <v>53</v>
      </c>
      <c r="E394" s="0" t="s">
        <v>54</v>
      </c>
      <c r="F394" s="0" t="s">
        <v>153</v>
      </c>
      <c r="G394" s="0" t="s">
        <v>265</v>
      </c>
      <c r="H394" s="0" t="s">
        <v>57</v>
      </c>
      <c r="I394" s="0" t="s">
        <v>393</v>
      </c>
      <c r="J394" s="0" t="s">
        <v>59</v>
      </c>
      <c r="K394" s="0" t="n">
        <v>2</v>
      </c>
      <c r="L394" s="0" t="n">
        <v>2</v>
      </c>
      <c r="M394" s="0" t="n">
        <v>4</v>
      </c>
      <c r="N394" s="0" t="n">
        <v>3</v>
      </c>
      <c r="O394" s="0" t="n">
        <f aca="false">SUM(K394:N394)</f>
        <v>11</v>
      </c>
      <c r="P394" s="0" t="str">
        <f aca="false">IF(O394&gt;=15,"Yes","No")</f>
        <v>No</v>
      </c>
      <c r="Q394" s="0" t="s">
        <v>46</v>
      </c>
      <c r="R394" s="2" t="n">
        <v>626000</v>
      </c>
      <c r="S394" s="3" t="n">
        <v>0</v>
      </c>
      <c r="T394" s="2" t="n">
        <f aca="false">R394*S394</f>
        <v>0</v>
      </c>
      <c r="U394" s="4" t="s">
        <v>914</v>
      </c>
      <c r="V394" s="4" t="s">
        <v>1187</v>
      </c>
      <c r="W394" s="0" t="n">
        <v>31</v>
      </c>
      <c r="X394" s="4" t="s">
        <v>257</v>
      </c>
    </row>
    <row r="395" customFormat="false" ht="15" hidden="false" customHeight="false" outlineLevel="0" collapsed="false">
      <c r="A395" s="0" t="s">
        <v>1341</v>
      </c>
      <c r="B395" s="0" t="s">
        <v>594</v>
      </c>
      <c r="C395" s="0" t="s">
        <v>26</v>
      </c>
      <c r="D395" s="0" t="s">
        <v>27</v>
      </c>
      <c r="E395" s="0" t="s">
        <v>92</v>
      </c>
      <c r="F395" s="0" t="s">
        <v>112</v>
      </c>
      <c r="G395" s="0" t="s">
        <v>231</v>
      </c>
      <c r="H395" s="0" t="s">
        <v>86</v>
      </c>
      <c r="I395" s="0" t="s">
        <v>1342</v>
      </c>
      <c r="J395" s="0" t="s">
        <v>69</v>
      </c>
      <c r="K395" s="0" t="n">
        <v>3</v>
      </c>
      <c r="L395" s="0" t="n">
        <v>1</v>
      </c>
      <c r="M395" s="0" t="n">
        <v>3</v>
      </c>
      <c r="N395" s="0" t="n">
        <v>3</v>
      </c>
      <c r="O395" s="0" t="n">
        <f aca="false">SUM(K395:N395)</f>
        <v>10</v>
      </c>
      <c r="P395" s="0" t="str">
        <f aca="false">IF(O395&gt;=15,"Yes","No")</f>
        <v>No</v>
      </c>
      <c r="Q395" s="0" t="s">
        <v>70</v>
      </c>
      <c r="R395" s="2" t="n">
        <v>144000</v>
      </c>
      <c r="S395" s="3" t="n">
        <v>0.55</v>
      </c>
      <c r="T395" s="2" t="n">
        <f aca="false">R395*S395</f>
        <v>79200</v>
      </c>
      <c r="U395" s="4" t="s">
        <v>1000</v>
      </c>
    </row>
    <row r="396" customFormat="false" ht="15" hidden="false" customHeight="false" outlineLevel="0" collapsed="false">
      <c r="A396" s="0" t="s">
        <v>1343</v>
      </c>
      <c r="B396" s="0" t="s">
        <v>51</v>
      </c>
      <c r="C396" s="0" t="s">
        <v>52</v>
      </c>
      <c r="D396" s="0" t="s">
        <v>53</v>
      </c>
      <c r="E396" s="0" t="s">
        <v>136</v>
      </c>
      <c r="F396" s="0" t="s">
        <v>55</v>
      </c>
      <c r="G396" s="0" t="s">
        <v>373</v>
      </c>
      <c r="H396" s="0" t="s">
        <v>86</v>
      </c>
      <c r="I396" s="0" t="s">
        <v>745</v>
      </c>
      <c r="J396" s="0" t="s">
        <v>33</v>
      </c>
      <c r="K396" s="0" t="n">
        <v>2</v>
      </c>
      <c r="L396" s="0" t="n">
        <v>1</v>
      </c>
      <c r="M396" s="0" t="n">
        <v>1</v>
      </c>
      <c r="N396" s="0" t="n">
        <v>2</v>
      </c>
      <c r="O396" s="0" t="n">
        <f aca="false">SUM(K396:N396)</f>
        <v>6</v>
      </c>
      <c r="P396" s="0" t="str">
        <f aca="false">IF(O396&gt;=15,"Yes","No")</f>
        <v>No</v>
      </c>
      <c r="Q396" s="0" t="s">
        <v>159</v>
      </c>
      <c r="R396" s="2" t="n">
        <v>489000</v>
      </c>
      <c r="S396" s="3" t="n">
        <v>0.05</v>
      </c>
      <c r="T396" s="2" t="n">
        <f aca="false">R396*S396</f>
        <v>24450</v>
      </c>
      <c r="U396" s="4" t="s">
        <v>410</v>
      </c>
    </row>
    <row r="397" customFormat="false" ht="15" hidden="false" customHeight="false" outlineLevel="0" collapsed="false">
      <c r="A397" s="0" t="s">
        <v>1344</v>
      </c>
      <c r="B397" s="0" t="s">
        <v>1252</v>
      </c>
      <c r="C397" s="0" t="s">
        <v>152</v>
      </c>
      <c r="D397" s="0" t="s">
        <v>27</v>
      </c>
      <c r="E397" s="0" t="s">
        <v>322</v>
      </c>
      <c r="F397" s="0" t="s">
        <v>75</v>
      </c>
      <c r="G397" s="0" t="s">
        <v>910</v>
      </c>
      <c r="H397" s="0" t="s">
        <v>67</v>
      </c>
      <c r="I397" s="0" t="s">
        <v>1345</v>
      </c>
      <c r="J397" s="0" t="s">
        <v>78</v>
      </c>
      <c r="K397" s="0" t="n">
        <v>4</v>
      </c>
      <c r="L397" s="0" t="n">
        <v>2</v>
      </c>
      <c r="M397" s="0" t="n">
        <v>5</v>
      </c>
      <c r="N397" s="0" t="n">
        <v>2</v>
      </c>
      <c r="O397" s="0" t="n">
        <f aca="false">SUM(K397:N397)</f>
        <v>13</v>
      </c>
      <c r="P397" s="0" t="str">
        <f aca="false">IF(O397&gt;=15,"Yes","No")</f>
        <v>No</v>
      </c>
      <c r="Q397" s="0" t="s">
        <v>46</v>
      </c>
      <c r="R397" s="2" t="n">
        <v>153000</v>
      </c>
      <c r="S397" s="3" t="n">
        <v>0</v>
      </c>
      <c r="T397" s="2" t="n">
        <f aca="false">R397*S397</f>
        <v>0</v>
      </c>
      <c r="U397" s="4" t="s">
        <v>440</v>
      </c>
      <c r="V397" s="4" t="s">
        <v>325</v>
      </c>
      <c r="W397" s="0" t="n">
        <v>37</v>
      </c>
      <c r="X397" s="4" t="s">
        <v>443</v>
      </c>
    </row>
    <row r="398" customFormat="false" ht="15" hidden="false" customHeight="false" outlineLevel="0" collapsed="false">
      <c r="A398" s="0" t="s">
        <v>1346</v>
      </c>
      <c r="B398" s="0" t="s">
        <v>716</v>
      </c>
      <c r="C398" s="0" t="s">
        <v>26</v>
      </c>
      <c r="D398" s="0" t="s">
        <v>27</v>
      </c>
      <c r="E398" s="0" t="s">
        <v>195</v>
      </c>
      <c r="F398" s="0" t="s">
        <v>130</v>
      </c>
      <c r="G398" s="0" t="s">
        <v>1347</v>
      </c>
      <c r="H398" s="0" t="s">
        <v>67</v>
      </c>
      <c r="I398" s="0" t="s">
        <v>1348</v>
      </c>
      <c r="J398" s="0" t="s">
        <v>33</v>
      </c>
      <c r="K398" s="0" t="n">
        <v>2</v>
      </c>
      <c r="L398" s="0" t="n">
        <v>3</v>
      </c>
      <c r="M398" s="0" t="n">
        <v>3</v>
      </c>
      <c r="N398" s="0" t="n">
        <v>4</v>
      </c>
      <c r="O398" s="0" t="n">
        <f aca="false">SUM(K398:N398)</f>
        <v>12</v>
      </c>
      <c r="P398" s="0" t="str">
        <f aca="false">IF(O398&gt;=15,"Yes","No")</f>
        <v>No</v>
      </c>
      <c r="Q398" s="0" t="s">
        <v>34</v>
      </c>
      <c r="R398" s="2" t="n">
        <v>136000</v>
      </c>
      <c r="S398" s="3" t="n">
        <v>1</v>
      </c>
      <c r="T398" s="2" t="n">
        <f aca="false">R398*S398</f>
        <v>136000</v>
      </c>
      <c r="U398" s="4" t="s">
        <v>547</v>
      </c>
      <c r="V398" s="4" t="s">
        <v>352</v>
      </c>
      <c r="W398" s="0" t="n">
        <v>35</v>
      </c>
    </row>
    <row r="399" customFormat="false" ht="15" hidden="false" customHeight="false" outlineLevel="0" collapsed="false">
      <c r="A399" s="0" t="s">
        <v>1349</v>
      </c>
      <c r="B399" s="0" t="s">
        <v>1128</v>
      </c>
      <c r="C399" s="0" t="s">
        <v>74</v>
      </c>
      <c r="D399" s="0" t="s">
        <v>53</v>
      </c>
      <c r="E399" s="0" t="s">
        <v>195</v>
      </c>
      <c r="F399" s="0" t="s">
        <v>153</v>
      </c>
      <c r="G399" s="0" t="s">
        <v>1350</v>
      </c>
      <c r="H399" s="0" t="s">
        <v>86</v>
      </c>
      <c r="I399" s="0" t="s">
        <v>1351</v>
      </c>
      <c r="J399" s="0" t="s">
        <v>59</v>
      </c>
      <c r="K399" s="0" t="n">
        <v>1</v>
      </c>
      <c r="L399" s="0" t="n">
        <v>3</v>
      </c>
      <c r="M399" s="0" t="n">
        <v>1</v>
      </c>
      <c r="N399" s="0" t="n">
        <v>1</v>
      </c>
      <c r="O399" s="0" t="n">
        <f aca="false">SUM(K399:N399)</f>
        <v>6</v>
      </c>
      <c r="P399" s="0" t="str">
        <f aca="false">IF(O399&gt;=15,"Yes","No")</f>
        <v>No</v>
      </c>
      <c r="Q399" s="0" t="s">
        <v>60</v>
      </c>
      <c r="R399" s="2" t="n">
        <v>573000</v>
      </c>
      <c r="S399" s="3" t="n">
        <v>0.15</v>
      </c>
      <c r="T399" s="2" t="n">
        <f aca="false">R399*S399</f>
        <v>85950</v>
      </c>
      <c r="U399" s="4" t="s">
        <v>238</v>
      </c>
    </row>
    <row r="400" customFormat="false" ht="15" hidden="false" customHeight="false" outlineLevel="0" collapsed="false">
      <c r="A400" s="0" t="s">
        <v>1352</v>
      </c>
      <c r="B400" s="0" t="s">
        <v>801</v>
      </c>
      <c r="C400" s="0" t="s">
        <v>26</v>
      </c>
      <c r="D400" s="0" t="s">
        <v>27</v>
      </c>
      <c r="E400" s="0" t="s">
        <v>54</v>
      </c>
      <c r="F400" s="0" t="s">
        <v>179</v>
      </c>
      <c r="G400" s="0" t="s">
        <v>265</v>
      </c>
      <c r="H400" s="0" t="s">
        <v>43</v>
      </c>
      <c r="I400" s="0" t="s">
        <v>227</v>
      </c>
      <c r="J400" s="0" t="s">
        <v>45</v>
      </c>
      <c r="K400" s="0" t="n">
        <v>2</v>
      </c>
      <c r="L400" s="0" t="n">
        <v>3</v>
      </c>
      <c r="M400" s="0" t="n">
        <v>2</v>
      </c>
      <c r="N400" s="0" t="n">
        <v>4</v>
      </c>
      <c r="O400" s="0" t="n">
        <f aca="false">SUM(K400:N400)</f>
        <v>11</v>
      </c>
      <c r="P400" s="0" t="str">
        <f aca="false">IF(O400&gt;=15,"Yes","No")</f>
        <v>No</v>
      </c>
      <c r="Q400" s="0" t="s">
        <v>159</v>
      </c>
      <c r="R400" s="2" t="n">
        <v>186000</v>
      </c>
      <c r="S400" s="3" t="n">
        <v>0.05</v>
      </c>
      <c r="T400" s="2" t="n">
        <f aca="false">R400*S400</f>
        <v>9300</v>
      </c>
      <c r="U400" s="4" t="s">
        <v>1027</v>
      </c>
    </row>
    <row r="401" customFormat="false" ht="15" hidden="false" customHeight="false" outlineLevel="0" collapsed="false">
      <c r="A401" s="0" t="s">
        <v>1353</v>
      </c>
      <c r="B401" s="0" t="s">
        <v>1354</v>
      </c>
      <c r="C401" s="0" t="s">
        <v>39</v>
      </c>
      <c r="D401" s="0" t="s">
        <v>64</v>
      </c>
      <c r="E401" s="0" t="s">
        <v>136</v>
      </c>
      <c r="F401" s="0" t="s">
        <v>41</v>
      </c>
      <c r="G401" s="0" t="s">
        <v>221</v>
      </c>
      <c r="H401" s="0" t="s">
        <v>43</v>
      </c>
      <c r="I401" s="0" t="s">
        <v>476</v>
      </c>
      <c r="J401" s="0" t="s">
        <v>69</v>
      </c>
      <c r="K401" s="0" t="n">
        <v>4</v>
      </c>
      <c r="L401" s="0" t="n">
        <v>3</v>
      </c>
      <c r="M401" s="0" t="n">
        <v>5</v>
      </c>
      <c r="N401" s="0" t="n">
        <v>4</v>
      </c>
      <c r="O401" s="0" t="n">
        <f aca="false">SUM(K401:N401)</f>
        <v>16</v>
      </c>
      <c r="P401" s="0" t="str">
        <f aca="false">IF(O401&gt;=15,"Yes","No")</f>
        <v>Yes</v>
      </c>
      <c r="Q401" s="0" t="s">
        <v>60</v>
      </c>
      <c r="R401" s="2" t="n">
        <v>2673000</v>
      </c>
      <c r="S401" s="3" t="n">
        <v>0.15</v>
      </c>
      <c r="T401" s="2" t="n">
        <f aca="false">R401*S401</f>
        <v>400950</v>
      </c>
      <c r="U401" s="4" t="s">
        <v>767</v>
      </c>
    </row>
    <row r="402" customFormat="false" ht="15" hidden="false" customHeight="false" outlineLevel="0" collapsed="false">
      <c r="A402" s="0" t="s">
        <v>1355</v>
      </c>
      <c r="B402" s="0" t="s">
        <v>25</v>
      </c>
      <c r="C402" s="0" t="s">
        <v>152</v>
      </c>
      <c r="D402" s="0" t="s">
        <v>53</v>
      </c>
      <c r="E402" s="0" t="s">
        <v>322</v>
      </c>
      <c r="F402" s="0" t="s">
        <v>55</v>
      </c>
      <c r="G402" s="0" t="s">
        <v>910</v>
      </c>
      <c r="H402" s="0" t="s">
        <v>43</v>
      </c>
      <c r="I402" s="0" t="s">
        <v>666</v>
      </c>
      <c r="J402" s="0" t="s">
        <v>33</v>
      </c>
      <c r="K402" s="0" t="n">
        <v>4</v>
      </c>
      <c r="L402" s="0" t="n">
        <v>3</v>
      </c>
      <c r="M402" s="0" t="n">
        <v>5</v>
      </c>
      <c r="N402" s="0" t="n">
        <v>5</v>
      </c>
      <c r="O402" s="0" t="n">
        <f aca="false">SUM(K402:N402)</f>
        <v>17</v>
      </c>
      <c r="P402" s="0" t="str">
        <f aca="false">IF(O402&gt;=15,"Yes","No")</f>
        <v>Yes</v>
      </c>
      <c r="Q402" s="0" t="s">
        <v>159</v>
      </c>
      <c r="R402" s="2" t="n">
        <v>510000</v>
      </c>
      <c r="S402" s="3" t="n">
        <v>0.05</v>
      </c>
      <c r="T402" s="2" t="n">
        <f aca="false">R402*S402</f>
        <v>25500</v>
      </c>
      <c r="U402" s="4" t="s">
        <v>150</v>
      </c>
    </row>
    <row r="403" customFormat="false" ht="15" hidden="false" customHeight="false" outlineLevel="0" collapsed="false">
      <c r="A403" s="0" t="s">
        <v>1356</v>
      </c>
      <c r="B403" s="0" t="s">
        <v>147</v>
      </c>
      <c r="C403" s="0" t="s">
        <v>152</v>
      </c>
      <c r="D403" s="0" t="s">
        <v>53</v>
      </c>
      <c r="E403" s="0" t="s">
        <v>178</v>
      </c>
      <c r="F403" s="0" t="s">
        <v>179</v>
      </c>
      <c r="G403" s="0" t="s">
        <v>1191</v>
      </c>
      <c r="H403" s="0" t="s">
        <v>43</v>
      </c>
      <c r="I403" s="0" t="s">
        <v>1357</v>
      </c>
      <c r="J403" s="0" t="s">
        <v>59</v>
      </c>
      <c r="K403" s="0" t="n">
        <v>4</v>
      </c>
      <c r="L403" s="0" t="n">
        <v>3</v>
      </c>
      <c r="M403" s="0" t="n">
        <v>3</v>
      </c>
      <c r="N403" s="0" t="n">
        <v>4</v>
      </c>
      <c r="O403" s="0" t="n">
        <f aca="false">SUM(K403:N403)</f>
        <v>14</v>
      </c>
      <c r="P403" s="0" t="str">
        <f aca="false">IF(O403&gt;=15,"Yes","No")</f>
        <v>No</v>
      </c>
      <c r="Q403" s="0" t="s">
        <v>34</v>
      </c>
      <c r="R403" s="2" t="n">
        <v>599000</v>
      </c>
      <c r="S403" s="3" t="n">
        <v>1</v>
      </c>
      <c r="T403" s="2" t="n">
        <f aca="false">R403*S403</f>
        <v>599000</v>
      </c>
      <c r="U403" s="4" t="s">
        <v>275</v>
      </c>
      <c r="V403" s="4" t="s">
        <v>1241</v>
      </c>
      <c r="W403" s="0" t="n">
        <v>45</v>
      </c>
    </row>
    <row r="404" customFormat="false" ht="15" hidden="false" customHeight="false" outlineLevel="0" collapsed="false">
      <c r="A404" s="0" t="s">
        <v>1358</v>
      </c>
      <c r="B404" s="0" t="s">
        <v>655</v>
      </c>
      <c r="C404" s="0" t="s">
        <v>264</v>
      </c>
      <c r="D404" s="0" t="s">
        <v>27</v>
      </c>
      <c r="E404" s="0" t="s">
        <v>40</v>
      </c>
      <c r="F404" s="0" t="s">
        <v>179</v>
      </c>
      <c r="G404" s="0" t="s">
        <v>656</v>
      </c>
      <c r="H404" s="0" t="s">
        <v>43</v>
      </c>
      <c r="I404" s="0" t="s">
        <v>87</v>
      </c>
      <c r="J404" s="0" t="s">
        <v>78</v>
      </c>
      <c r="K404" s="0" t="n">
        <v>5</v>
      </c>
      <c r="L404" s="0" t="n">
        <v>3</v>
      </c>
      <c r="M404" s="0" t="n">
        <v>5</v>
      </c>
      <c r="N404" s="0" t="n">
        <v>3</v>
      </c>
      <c r="O404" s="0" t="n">
        <f aca="false">SUM(K404:N404)</f>
        <v>16</v>
      </c>
      <c r="P404" s="0" t="str">
        <f aca="false">IF(O404&gt;=15,"Yes","No")</f>
        <v>Yes</v>
      </c>
      <c r="Q404" s="0" t="s">
        <v>46</v>
      </c>
      <c r="R404" s="2" t="n">
        <v>233000</v>
      </c>
      <c r="S404" s="3" t="n">
        <v>0</v>
      </c>
      <c r="T404" s="2" t="n">
        <f aca="false">R404*S404</f>
        <v>0</v>
      </c>
      <c r="U404" s="4" t="s">
        <v>88</v>
      </c>
      <c r="V404" s="4" t="s">
        <v>186</v>
      </c>
      <c r="W404" s="0" t="n">
        <v>21</v>
      </c>
      <c r="X404" s="4" t="s">
        <v>310</v>
      </c>
    </row>
    <row r="405" customFormat="false" ht="15" hidden="false" customHeight="false" outlineLevel="0" collapsed="false">
      <c r="A405" s="0" t="s">
        <v>1359</v>
      </c>
      <c r="B405" s="0" t="s">
        <v>246</v>
      </c>
      <c r="C405" s="0" t="s">
        <v>74</v>
      </c>
      <c r="D405" s="0" t="s">
        <v>27</v>
      </c>
      <c r="E405" s="0" t="s">
        <v>111</v>
      </c>
      <c r="F405" s="0" t="s">
        <v>153</v>
      </c>
      <c r="G405" s="0" t="s">
        <v>247</v>
      </c>
      <c r="H405" s="0" t="s">
        <v>86</v>
      </c>
      <c r="I405" s="0" t="s">
        <v>766</v>
      </c>
      <c r="J405" s="0" t="s">
        <v>33</v>
      </c>
      <c r="K405" s="0" t="n">
        <v>2</v>
      </c>
      <c r="L405" s="0" t="n">
        <v>1</v>
      </c>
      <c r="M405" s="0" t="n">
        <v>1</v>
      </c>
      <c r="N405" s="0" t="n">
        <v>1</v>
      </c>
      <c r="O405" s="0" t="n">
        <f aca="false">SUM(K405:N405)</f>
        <v>5</v>
      </c>
      <c r="P405" s="0" t="str">
        <f aca="false">IF(O405&gt;=15,"Yes","No")</f>
        <v>No</v>
      </c>
      <c r="Q405" s="0" t="s">
        <v>60</v>
      </c>
      <c r="R405" s="2" t="n">
        <v>147000</v>
      </c>
      <c r="S405" s="3" t="n">
        <v>0.15</v>
      </c>
      <c r="T405" s="2" t="n">
        <f aca="false">R405*S405</f>
        <v>22050</v>
      </c>
      <c r="U405" s="4" t="s">
        <v>1212</v>
      </c>
    </row>
    <row r="406" customFormat="false" ht="15" hidden="false" customHeight="false" outlineLevel="0" collapsed="false">
      <c r="A406" s="0" t="s">
        <v>1360</v>
      </c>
      <c r="B406" s="0" t="s">
        <v>1361</v>
      </c>
      <c r="C406" s="0" t="s">
        <v>39</v>
      </c>
      <c r="D406" s="0" t="s">
        <v>27</v>
      </c>
      <c r="E406" s="0" t="s">
        <v>195</v>
      </c>
      <c r="F406" s="0" t="s">
        <v>179</v>
      </c>
      <c r="G406" s="0" t="s">
        <v>1362</v>
      </c>
      <c r="H406" s="0" t="s">
        <v>57</v>
      </c>
      <c r="I406" s="0" t="s">
        <v>192</v>
      </c>
      <c r="J406" s="0" t="s">
        <v>59</v>
      </c>
      <c r="K406" s="0" t="n">
        <v>1</v>
      </c>
      <c r="L406" s="0" t="n">
        <v>1</v>
      </c>
      <c r="M406" s="0" t="n">
        <v>3</v>
      </c>
      <c r="N406" s="0" t="n">
        <v>3</v>
      </c>
      <c r="O406" s="0" t="n">
        <f aca="false">SUM(K406:N406)</f>
        <v>8</v>
      </c>
      <c r="P406" s="0" t="str">
        <f aca="false">IF(O406&gt;=15,"Yes","No")</f>
        <v>No</v>
      </c>
      <c r="Q406" s="0" t="s">
        <v>60</v>
      </c>
      <c r="R406" s="2" t="n">
        <v>174000</v>
      </c>
      <c r="S406" s="3" t="n">
        <v>0.15</v>
      </c>
      <c r="T406" s="2" t="n">
        <f aca="false">R406*S406</f>
        <v>26100</v>
      </c>
      <c r="U406" s="4" t="s">
        <v>618</v>
      </c>
    </row>
    <row r="407" customFormat="false" ht="15" hidden="false" customHeight="false" outlineLevel="0" collapsed="false">
      <c r="A407" s="0" t="s">
        <v>1363</v>
      </c>
      <c r="B407" s="0" t="s">
        <v>551</v>
      </c>
      <c r="C407" s="0" t="s">
        <v>129</v>
      </c>
      <c r="D407" s="0" t="s">
        <v>53</v>
      </c>
      <c r="E407" s="0" t="s">
        <v>142</v>
      </c>
      <c r="F407" s="0" t="s">
        <v>55</v>
      </c>
      <c r="G407" s="0" t="s">
        <v>1364</v>
      </c>
      <c r="H407" s="0" t="s">
        <v>86</v>
      </c>
      <c r="I407" s="0" t="s">
        <v>126</v>
      </c>
      <c r="J407" s="0" t="s">
        <v>69</v>
      </c>
      <c r="K407" s="0" t="n">
        <v>2</v>
      </c>
      <c r="L407" s="0" t="n">
        <v>1</v>
      </c>
      <c r="M407" s="0" t="n">
        <v>1</v>
      </c>
      <c r="N407" s="0" t="n">
        <v>1</v>
      </c>
      <c r="O407" s="0" t="n">
        <f aca="false">SUM(K407:N407)</f>
        <v>5</v>
      </c>
      <c r="P407" s="0" t="str">
        <f aca="false">IF(O407&gt;=15,"Yes","No")</f>
        <v>No</v>
      </c>
      <c r="Q407" s="0" t="s">
        <v>60</v>
      </c>
      <c r="R407" s="2" t="n">
        <v>738000</v>
      </c>
      <c r="S407" s="3" t="n">
        <v>0.15</v>
      </c>
      <c r="T407" s="2" t="n">
        <f aca="false">R407*S407</f>
        <v>110700</v>
      </c>
      <c r="U407" s="4" t="s">
        <v>485</v>
      </c>
    </row>
    <row r="408" customFormat="false" ht="15" hidden="false" customHeight="false" outlineLevel="0" collapsed="false">
      <c r="A408" s="0" t="s">
        <v>1365</v>
      </c>
      <c r="B408" s="0" t="s">
        <v>502</v>
      </c>
      <c r="C408" s="0" t="s">
        <v>26</v>
      </c>
      <c r="D408" s="0" t="s">
        <v>53</v>
      </c>
      <c r="E408" s="0" t="s">
        <v>65</v>
      </c>
      <c r="F408" s="0" t="s">
        <v>29</v>
      </c>
      <c r="G408" s="0" t="s">
        <v>1366</v>
      </c>
      <c r="H408" s="0" t="s">
        <v>57</v>
      </c>
      <c r="I408" s="0" t="s">
        <v>1223</v>
      </c>
      <c r="J408" s="0" t="s">
        <v>45</v>
      </c>
      <c r="K408" s="0" t="n">
        <v>1</v>
      </c>
      <c r="L408" s="0" t="n">
        <v>3</v>
      </c>
      <c r="M408" s="0" t="n">
        <v>1</v>
      </c>
      <c r="N408" s="0" t="n">
        <v>2</v>
      </c>
      <c r="O408" s="0" t="n">
        <f aca="false">SUM(K408:N408)</f>
        <v>7</v>
      </c>
      <c r="P408" s="0" t="str">
        <f aca="false">IF(O408&gt;=15,"Yes","No")</f>
        <v>No</v>
      </c>
      <c r="Q408" s="0" t="s">
        <v>159</v>
      </c>
      <c r="R408" s="2" t="n">
        <v>807000</v>
      </c>
      <c r="S408" s="3" t="n">
        <v>0.05</v>
      </c>
      <c r="T408" s="2" t="n">
        <f aca="false">R408*S408</f>
        <v>40350</v>
      </c>
      <c r="U408" s="4" t="s">
        <v>508</v>
      </c>
    </row>
    <row r="409" customFormat="false" ht="15" hidden="false" customHeight="false" outlineLevel="0" collapsed="false">
      <c r="A409" s="0" t="s">
        <v>1367</v>
      </c>
      <c r="B409" s="0" t="s">
        <v>194</v>
      </c>
      <c r="C409" s="0" t="s">
        <v>74</v>
      </c>
      <c r="D409" s="0" t="s">
        <v>27</v>
      </c>
      <c r="E409" s="0" t="s">
        <v>28</v>
      </c>
      <c r="F409" s="0" t="s">
        <v>55</v>
      </c>
      <c r="G409" s="0" t="s">
        <v>1368</v>
      </c>
      <c r="H409" s="0" t="s">
        <v>86</v>
      </c>
      <c r="I409" s="0" t="s">
        <v>1369</v>
      </c>
      <c r="J409" s="0" t="s">
        <v>69</v>
      </c>
      <c r="K409" s="0" t="n">
        <v>2</v>
      </c>
      <c r="L409" s="0" t="n">
        <v>2</v>
      </c>
      <c r="M409" s="0" t="n">
        <v>1</v>
      </c>
      <c r="N409" s="0" t="n">
        <v>1</v>
      </c>
      <c r="O409" s="0" t="n">
        <f aca="false">SUM(K409:N409)</f>
        <v>6</v>
      </c>
      <c r="P409" s="0" t="str">
        <f aca="false">IF(O409&gt;=15,"Yes","No")</f>
        <v>No</v>
      </c>
      <c r="Q409" s="0" t="s">
        <v>159</v>
      </c>
      <c r="R409" s="2" t="n">
        <v>240000</v>
      </c>
      <c r="S409" s="3" t="n">
        <v>0.05</v>
      </c>
      <c r="T409" s="2" t="n">
        <f aca="false">R409*S409</f>
        <v>12000</v>
      </c>
      <c r="U409" s="4" t="s">
        <v>1309</v>
      </c>
    </row>
    <row r="410" customFormat="false" ht="15" hidden="false" customHeight="false" outlineLevel="0" collapsed="false">
      <c r="A410" s="0" t="s">
        <v>1370</v>
      </c>
      <c r="B410" s="0" t="s">
        <v>1371</v>
      </c>
      <c r="C410" s="0" t="s">
        <v>152</v>
      </c>
      <c r="D410" s="0" t="s">
        <v>53</v>
      </c>
      <c r="E410" s="0" t="s">
        <v>84</v>
      </c>
      <c r="F410" s="0" t="s">
        <v>75</v>
      </c>
      <c r="G410" s="0" t="s">
        <v>173</v>
      </c>
      <c r="H410" s="0" t="s">
        <v>86</v>
      </c>
      <c r="I410" s="0" t="s">
        <v>1372</v>
      </c>
      <c r="J410" s="0" t="s">
        <v>45</v>
      </c>
      <c r="K410" s="0" t="n">
        <v>1</v>
      </c>
      <c r="L410" s="0" t="n">
        <v>1</v>
      </c>
      <c r="M410" s="0" t="n">
        <v>1</v>
      </c>
      <c r="N410" s="0" t="n">
        <v>1</v>
      </c>
      <c r="O410" s="0" t="n">
        <f aca="false">SUM(K410:N410)</f>
        <v>4</v>
      </c>
      <c r="P410" s="0" t="str">
        <f aca="false">IF(O410&gt;=15,"Yes","No")</f>
        <v>No</v>
      </c>
      <c r="Q410" s="0" t="s">
        <v>70</v>
      </c>
      <c r="R410" s="2" t="n">
        <v>781000</v>
      </c>
      <c r="S410" s="3" t="n">
        <v>0.55</v>
      </c>
      <c r="T410" s="2" t="n">
        <f aca="false">R410*S410</f>
        <v>429550</v>
      </c>
      <c r="U410" s="4" t="s">
        <v>296</v>
      </c>
    </row>
    <row r="411" customFormat="false" ht="15" hidden="false" customHeight="false" outlineLevel="0" collapsed="false">
      <c r="A411" s="0" t="s">
        <v>1373</v>
      </c>
      <c r="B411" s="0" t="s">
        <v>425</v>
      </c>
      <c r="C411" s="0" t="s">
        <v>152</v>
      </c>
      <c r="D411" s="0" t="s">
        <v>53</v>
      </c>
      <c r="E411" s="0" t="s">
        <v>105</v>
      </c>
      <c r="F411" s="0" t="s">
        <v>41</v>
      </c>
      <c r="G411" s="0" t="s">
        <v>205</v>
      </c>
      <c r="H411" s="0" t="s">
        <v>67</v>
      </c>
      <c r="I411" s="0" t="s">
        <v>927</v>
      </c>
      <c r="J411" s="0" t="s">
        <v>59</v>
      </c>
      <c r="K411" s="0" t="n">
        <v>3</v>
      </c>
      <c r="L411" s="0" t="n">
        <v>4</v>
      </c>
      <c r="M411" s="0" t="n">
        <v>3</v>
      </c>
      <c r="N411" s="0" t="n">
        <v>3</v>
      </c>
      <c r="O411" s="0" t="n">
        <f aca="false">SUM(K411:N411)</f>
        <v>13</v>
      </c>
      <c r="P411" s="0" t="str">
        <f aca="false">IF(O411&gt;=15,"Yes","No")</f>
        <v>No</v>
      </c>
      <c r="Q411" s="0" t="s">
        <v>34</v>
      </c>
      <c r="R411" s="2" t="n">
        <v>581000</v>
      </c>
      <c r="S411" s="3" t="n">
        <v>1</v>
      </c>
      <c r="T411" s="2" t="n">
        <f aca="false">R411*S411</f>
        <v>581000</v>
      </c>
      <c r="U411" s="4" t="s">
        <v>279</v>
      </c>
      <c r="V411" s="4" t="s">
        <v>558</v>
      </c>
      <c r="W411" s="0" t="n">
        <v>34</v>
      </c>
    </row>
    <row r="412" customFormat="false" ht="15" hidden="false" customHeight="false" outlineLevel="0" collapsed="false">
      <c r="A412" s="0" t="s">
        <v>1374</v>
      </c>
      <c r="B412" s="0" t="s">
        <v>368</v>
      </c>
      <c r="C412" s="0" t="s">
        <v>184</v>
      </c>
      <c r="D412" s="0" t="s">
        <v>64</v>
      </c>
      <c r="E412" s="0" t="s">
        <v>99</v>
      </c>
      <c r="F412" s="0" t="s">
        <v>55</v>
      </c>
      <c r="G412" s="0" t="s">
        <v>1375</v>
      </c>
      <c r="H412" s="0" t="s">
        <v>31</v>
      </c>
      <c r="I412" s="0" t="s">
        <v>852</v>
      </c>
      <c r="J412" s="0" t="s">
        <v>69</v>
      </c>
      <c r="K412" s="0" t="n">
        <v>3</v>
      </c>
      <c r="L412" s="0" t="n">
        <v>5</v>
      </c>
      <c r="M412" s="0" t="n">
        <v>4</v>
      </c>
      <c r="N412" s="0" t="n">
        <v>5</v>
      </c>
      <c r="O412" s="0" t="n">
        <f aca="false">SUM(K412:N412)</f>
        <v>17</v>
      </c>
      <c r="P412" s="0" t="str">
        <f aca="false">IF(O412&gt;=15,"Yes","No")</f>
        <v>Yes</v>
      </c>
      <c r="Q412" s="0" t="s">
        <v>60</v>
      </c>
      <c r="R412" s="2" t="n">
        <v>2333000</v>
      </c>
      <c r="S412" s="3" t="n">
        <v>0.15</v>
      </c>
      <c r="T412" s="2" t="n">
        <f aca="false">R412*S412</f>
        <v>349950</v>
      </c>
      <c r="U412" s="4" t="s">
        <v>1342</v>
      </c>
    </row>
    <row r="413" customFormat="false" ht="15" hidden="false" customHeight="false" outlineLevel="0" collapsed="false">
      <c r="A413" s="0" t="s">
        <v>1376</v>
      </c>
      <c r="B413" s="0" t="s">
        <v>263</v>
      </c>
      <c r="C413" s="0" t="s">
        <v>26</v>
      </c>
      <c r="D413" s="0" t="s">
        <v>53</v>
      </c>
      <c r="E413" s="0" t="s">
        <v>28</v>
      </c>
      <c r="F413" s="0" t="s">
        <v>112</v>
      </c>
      <c r="G413" s="0" t="s">
        <v>1377</v>
      </c>
      <c r="H413" s="0" t="s">
        <v>57</v>
      </c>
      <c r="I413" s="0" t="s">
        <v>680</v>
      </c>
      <c r="J413" s="0" t="s">
        <v>78</v>
      </c>
      <c r="K413" s="0" t="n">
        <v>1</v>
      </c>
      <c r="L413" s="0" t="n">
        <v>3</v>
      </c>
      <c r="M413" s="0" t="n">
        <v>3</v>
      </c>
      <c r="N413" s="0" t="n">
        <v>2</v>
      </c>
      <c r="O413" s="0" t="n">
        <f aca="false">SUM(K413:N413)</f>
        <v>9</v>
      </c>
      <c r="P413" s="0" t="str">
        <f aca="false">IF(O413&gt;=15,"Yes","No")</f>
        <v>No</v>
      </c>
      <c r="Q413" s="0" t="s">
        <v>60</v>
      </c>
      <c r="R413" s="2" t="n">
        <v>743000</v>
      </c>
      <c r="S413" s="3" t="n">
        <v>0.15</v>
      </c>
      <c r="T413" s="2" t="n">
        <f aca="false">R413*S413</f>
        <v>111450</v>
      </c>
      <c r="U413" s="4" t="s">
        <v>1378</v>
      </c>
    </row>
    <row r="414" customFormat="false" ht="15" hidden="false" customHeight="false" outlineLevel="0" collapsed="false">
      <c r="A414" s="0" t="s">
        <v>1379</v>
      </c>
      <c r="B414" s="0" t="s">
        <v>769</v>
      </c>
      <c r="C414" s="0" t="s">
        <v>74</v>
      </c>
      <c r="D414" s="0" t="s">
        <v>53</v>
      </c>
      <c r="E414" s="0" t="s">
        <v>142</v>
      </c>
      <c r="F414" s="0" t="s">
        <v>130</v>
      </c>
      <c r="G414" s="0" t="s">
        <v>856</v>
      </c>
      <c r="H414" s="0" t="s">
        <v>86</v>
      </c>
      <c r="I414" s="0" t="s">
        <v>340</v>
      </c>
      <c r="J414" s="0" t="s">
        <v>78</v>
      </c>
      <c r="K414" s="0" t="n">
        <v>3</v>
      </c>
      <c r="L414" s="0" t="n">
        <v>1</v>
      </c>
      <c r="M414" s="0" t="n">
        <v>2</v>
      </c>
      <c r="N414" s="0" t="n">
        <v>3</v>
      </c>
      <c r="O414" s="0" t="n">
        <f aca="false">SUM(K414:N414)</f>
        <v>9</v>
      </c>
      <c r="P414" s="0" t="str">
        <f aca="false">IF(O414&gt;=15,"Yes","No")</f>
        <v>No</v>
      </c>
      <c r="Q414" s="0" t="s">
        <v>60</v>
      </c>
      <c r="R414" s="2" t="n">
        <v>701000</v>
      </c>
      <c r="S414" s="3" t="n">
        <v>0.15</v>
      </c>
      <c r="T414" s="2" t="n">
        <f aca="false">R414*S414</f>
        <v>105150</v>
      </c>
      <c r="U414" s="4" t="s">
        <v>1380</v>
      </c>
    </row>
    <row r="415" customFormat="false" ht="15" hidden="false" customHeight="false" outlineLevel="0" collapsed="false">
      <c r="A415" s="0" t="s">
        <v>1381</v>
      </c>
      <c r="B415" s="0" t="s">
        <v>83</v>
      </c>
      <c r="C415" s="0" t="s">
        <v>74</v>
      </c>
      <c r="D415" s="0" t="s">
        <v>27</v>
      </c>
      <c r="E415" s="0" t="s">
        <v>105</v>
      </c>
      <c r="F415" s="0" t="s">
        <v>41</v>
      </c>
      <c r="G415" s="0" t="s">
        <v>580</v>
      </c>
      <c r="H415" s="0" t="s">
        <v>67</v>
      </c>
      <c r="I415" s="0" t="s">
        <v>876</v>
      </c>
      <c r="J415" s="0" t="s">
        <v>59</v>
      </c>
      <c r="K415" s="0" t="n">
        <v>2</v>
      </c>
      <c r="L415" s="0" t="n">
        <v>4</v>
      </c>
      <c r="M415" s="0" t="n">
        <v>4</v>
      </c>
      <c r="N415" s="0" t="n">
        <v>3</v>
      </c>
      <c r="O415" s="0" t="n">
        <f aca="false">SUM(K415:N415)</f>
        <v>13</v>
      </c>
      <c r="P415" s="0" t="str">
        <f aca="false">IF(O415&gt;=15,"Yes","No")</f>
        <v>No</v>
      </c>
      <c r="Q415" s="0" t="s">
        <v>34</v>
      </c>
      <c r="R415" s="2" t="n">
        <v>242000</v>
      </c>
      <c r="S415" s="3" t="n">
        <v>1</v>
      </c>
      <c r="T415" s="2" t="n">
        <f aca="false">R415*S415</f>
        <v>242000</v>
      </c>
      <c r="U415" s="4" t="s">
        <v>782</v>
      </c>
      <c r="V415" s="4" t="s">
        <v>1382</v>
      </c>
      <c r="W415" s="0" t="n">
        <v>33</v>
      </c>
    </row>
    <row r="416" customFormat="false" ht="15" hidden="false" customHeight="false" outlineLevel="0" collapsed="false">
      <c r="A416" s="0" t="s">
        <v>1383</v>
      </c>
      <c r="B416" s="0" t="s">
        <v>98</v>
      </c>
      <c r="C416" s="0" t="s">
        <v>264</v>
      </c>
      <c r="D416" s="0" t="s">
        <v>27</v>
      </c>
      <c r="E416" s="0" t="s">
        <v>105</v>
      </c>
      <c r="F416" s="0" t="s">
        <v>41</v>
      </c>
      <c r="G416" s="0" t="s">
        <v>434</v>
      </c>
      <c r="H416" s="0" t="s">
        <v>86</v>
      </c>
      <c r="I416" s="0" t="s">
        <v>1384</v>
      </c>
      <c r="J416" s="0" t="s">
        <v>69</v>
      </c>
      <c r="K416" s="0" t="n">
        <v>1</v>
      </c>
      <c r="L416" s="0" t="n">
        <v>1</v>
      </c>
      <c r="M416" s="0" t="n">
        <v>1</v>
      </c>
      <c r="N416" s="0" t="n">
        <v>1</v>
      </c>
      <c r="O416" s="0" t="n">
        <f aca="false">SUM(K416:N416)</f>
        <v>4</v>
      </c>
      <c r="P416" s="0" t="str">
        <f aca="false">IF(O416&gt;=15,"Yes","No")</f>
        <v>No</v>
      </c>
      <c r="Q416" s="0" t="s">
        <v>115</v>
      </c>
      <c r="R416" s="2" t="n">
        <v>190000</v>
      </c>
      <c r="S416" s="3" t="n">
        <v>0.35</v>
      </c>
      <c r="T416" s="2" t="n">
        <f aca="false">R416*S416</f>
        <v>66500</v>
      </c>
      <c r="U416" s="4" t="s">
        <v>921</v>
      </c>
    </row>
    <row r="417" customFormat="false" ht="15" hidden="false" customHeight="false" outlineLevel="0" collapsed="false">
      <c r="A417" s="0" t="s">
        <v>1385</v>
      </c>
      <c r="B417" s="0" t="s">
        <v>98</v>
      </c>
      <c r="C417" s="0" t="s">
        <v>152</v>
      </c>
      <c r="D417" s="0" t="s">
        <v>64</v>
      </c>
      <c r="E417" s="0" t="s">
        <v>54</v>
      </c>
      <c r="F417" s="0" t="s">
        <v>130</v>
      </c>
      <c r="G417" s="0" t="s">
        <v>1386</v>
      </c>
      <c r="H417" s="0" t="s">
        <v>67</v>
      </c>
      <c r="I417" s="0" t="s">
        <v>400</v>
      </c>
      <c r="J417" s="0" t="s">
        <v>78</v>
      </c>
      <c r="K417" s="0" t="n">
        <v>4</v>
      </c>
      <c r="L417" s="0" t="n">
        <v>2</v>
      </c>
      <c r="M417" s="0" t="n">
        <v>4</v>
      </c>
      <c r="N417" s="0" t="n">
        <v>3</v>
      </c>
      <c r="O417" s="0" t="n">
        <f aca="false">SUM(K417:N417)</f>
        <v>13</v>
      </c>
      <c r="P417" s="0" t="str">
        <f aca="false">IF(O417&gt;=15,"Yes","No")</f>
        <v>No</v>
      </c>
      <c r="Q417" s="0" t="s">
        <v>34</v>
      </c>
      <c r="R417" s="2" t="n">
        <v>2272000</v>
      </c>
      <c r="S417" s="3" t="n">
        <v>1</v>
      </c>
      <c r="T417" s="2" t="n">
        <f aca="false">R417*S417</f>
        <v>2272000</v>
      </c>
      <c r="U417" s="4" t="s">
        <v>243</v>
      </c>
      <c r="V417" s="4" t="s">
        <v>648</v>
      </c>
      <c r="W417" s="0" t="n">
        <v>43</v>
      </c>
    </row>
    <row r="418" customFormat="false" ht="15" hidden="false" customHeight="false" outlineLevel="0" collapsed="false">
      <c r="A418" s="0" t="s">
        <v>1387</v>
      </c>
      <c r="B418" s="0" t="s">
        <v>1388</v>
      </c>
      <c r="C418" s="0" t="s">
        <v>26</v>
      </c>
      <c r="D418" s="0" t="s">
        <v>53</v>
      </c>
      <c r="E418" s="0" t="s">
        <v>215</v>
      </c>
      <c r="F418" s="0" t="s">
        <v>130</v>
      </c>
      <c r="G418" s="0" t="s">
        <v>1389</v>
      </c>
      <c r="H418" s="0" t="s">
        <v>67</v>
      </c>
      <c r="I418" s="0" t="s">
        <v>393</v>
      </c>
      <c r="J418" s="0" t="s">
        <v>69</v>
      </c>
      <c r="K418" s="0" t="n">
        <v>4</v>
      </c>
      <c r="L418" s="0" t="n">
        <v>1</v>
      </c>
      <c r="M418" s="0" t="n">
        <v>3</v>
      </c>
      <c r="N418" s="0" t="n">
        <v>2</v>
      </c>
      <c r="O418" s="0" t="n">
        <f aca="false">SUM(K418:N418)</f>
        <v>10</v>
      </c>
      <c r="P418" s="0" t="str">
        <f aca="false">IF(O418&gt;=15,"Yes","No")</f>
        <v>No</v>
      </c>
      <c r="Q418" s="0" t="s">
        <v>60</v>
      </c>
      <c r="R418" s="2" t="n">
        <v>716000</v>
      </c>
      <c r="S418" s="3" t="n">
        <v>0.15</v>
      </c>
      <c r="T418" s="2" t="n">
        <f aca="false">R418*S418</f>
        <v>107400</v>
      </c>
      <c r="U418" s="4" t="s">
        <v>1262</v>
      </c>
    </row>
    <row r="419" customFormat="false" ht="15" hidden="false" customHeight="false" outlineLevel="0" collapsed="false">
      <c r="A419" s="0" t="s">
        <v>1390</v>
      </c>
      <c r="B419" s="0" t="s">
        <v>1245</v>
      </c>
      <c r="C419" s="0" t="s">
        <v>184</v>
      </c>
      <c r="D419" s="0" t="s">
        <v>27</v>
      </c>
      <c r="E419" s="0" t="s">
        <v>65</v>
      </c>
      <c r="F419" s="0" t="s">
        <v>153</v>
      </c>
      <c r="G419" s="0" t="s">
        <v>522</v>
      </c>
      <c r="H419" s="0" t="s">
        <v>248</v>
      </c>
      <c r="I419" s="0" t="s">
        <v>35</v>
      </c>
      <c r="J419" s="0" t="s">
        <v>59</v>
      </c>
      <c r="K419" s="0" t="n">
        <v>3</v>
      </c>
      <c r="L419" s="0" t="n">
        <v>2</v>
      </c>
      <c r="M419" s="0" t="n">
        <v>5</v>
      </c>
      <c r="N419" s="0" t="n">
        <v>1</v>
      </c>
      <c r="O419" s="0" t="n">
        <f aca="false">SUM(K419:N419)</f>
        <v>11</v>
      </c>
      <c r="P419" s="0" t="str">
        <f aca="false">IF(O419&gt;=15,"Yes","No")</f>
        <v>No</v>
      </c>
      <c r="Q419" s="0" t="s">
        <v>34</v>
      </c>
      <c r="R419" s="2" t="n">
        <v>214000</v>
      </c>
      <c r="S419" s="3" t="n">
        <v>1</v>
      </c>
      <c r="T419" s="2" t="n">
        <f aca="false">R419*S419</f>
        <v>214000</v>
      </c>
      <c r="U419" s="4" t="s">
        <v>192</v>
      </c>
      <c r="V419" s="4" t="s">
        <v>1235</v>
      </c>
      <c r="W419" s="0" t="n">
        <v>27</v>
      </c>
    </row>
    <row r="420" customFormat="false" ht="15" hidden="false" customHeight="false" outlineLevel="0" collapsed="false">
      <c r="A420" s="0" t="s">
        <v>1391</v>
      </c>
      <c r="B420" s="0" t="s">
        <v>487</v>
      </c>
      <c r="C420" s="0" t="s">
        <v>39</v>
      </c>
      <c r="D420" s="0" t="s">
        <v>53</v>
      </c>
      <c r="E420" s="0" t="s">
        <v>28</v>
      </c>
      <c r="F420" s="0" t="s">
        <v>55</v>
      </c>
      <c r="G420" s="0" t="s">
        <v>488</v>
      </c>
      <c r="H420" s="0" t="s">
        <v>67</v>
      </c>
      <c r="I420" s="0" t="s">
        <v>1002</v>
      </c>
      <c r="J420" s="0" t="s">
        <v>59</v>
      </c>
      <c r="K420" s="0" t="n">
        <v>3</v>
      </c>
      <c r="L420" s="0" t="n">
        <v>3</v>
      </c>
      <c r="M420" s="0" t="n">
        <v>3</v>
      </c>
      <c r="N420" s="0" t="n">
        <v>4</v>
      </c>
      <c r="O420" s="0" t="n">
        <f aca="false">SUM(K420:N420)</f>
        <v>13</v>
      </c>
      <c r="P420" s="0" t="str">
        <f aca="false">IF(O420&gt;=15,"Yes","No")</f>
        <v>No</v>
      </c>
      <c r="Q420" s="0" t="s">
        <v>159</v>
      </c>
      <c r="R420" s="2" t="n">
        <v>791000</v>
      </c>
      <c r="S420" s="3" t="n">
        <v>0.05</v>
      </c>
      <c r="T420" s="2" t="n">
        <f aca="false">R420*S420</f>
        <v>39550</v>
      </c>
      <c r="U420" s="4" t="s">
        <v>1392</v>
      </c>
    </row>
    <row r="421" customFormat="false" ht="15" hidden="false" customHeight="false" outlineLevel="0" collapsed="false">
      <c r="A421" s="0" t="s">
        <v>1393</v>
      </c>
      <c r="B421" s="0" t="s">
        <v>538</v>
      </c>
      <c r="C421" s="0" t="s">
        <v>39</v>
      </c>
      <c r="D421" s="0" t="s">
        <v>53</v>
      </c>
      <c r="E421" s="0" t="s">
        <v>178</v>
      </c>
      <c r="F421" s="0" t="s">
        <v>75</v>
      </c>
      <c r="G421" s="0" t="s">
        <v>918</v>
      </c>
      <c r="H421" s="0" t="s">
        <v>57</v>
      </c>
      <c r="I421" s="0" t="s">
        <v>1187</v>
      </c>
      <c r="J421" s="0" t="s">
        <v>45</v>
      </c>
      <c r="K421" s="0" t="n">
        <v>3</v>
      </c>
      <c r="L421" s="0" t="n">
        <v>1</v>
      </c>
      <c r="M421" s="0" t="n">
        <v>4</v>
      </c>
      <c r="N421" s="0" t="n">
        <v>1</v>
      </c>
      <c r="O421" s="0" t="n">
        <f aca="false">SUM(K421:N421)</f>
        <v>9</v>
      </c>
      <c r="P421" s="0" t="str">
        <f aca="false">IF(O421&gt;=15,"Yes","No")</f>
        <v>No</v>
      </c>
      <c r="Q421" s="0" t="s">
        <v>60</v>
      </c>
      <c r="R421" s="2" t="n">
        <v>741000</v>
      </c>
      <c r="S421" s="3" t="n">
        <v>0.15</v>
      </c>
      <c r="T421" s="2" t="n">
        <f aca="false">R421*S421</f>
        <v>111150</v>
      </c>
      <c r="U421" s="4" t="s">
        <v>1394</v>
      </c>
    </row>
    <row r="422" customFormat="false" ht="15" hidden="false" customHeight="false" outlineLevel="0" collapsed="false">
      <c r="A422" s="0" t="s">
        <v>1395</v>
      </c>
      <c r="B422" s="0" t="s">
        <v>333</v>
      </c>
      <c r="C422" s="0" t="s">
        <v>152</v>
      </c>
      <c r="D422" s="0" t="s">
        <v>53</v>
      </c>
      <c r="E422" s="0" t="s">
        <v>99</v>
      </c>
      <c r="F422" s="0" t="s">
        <v>75</v>
      </c>
      <c r="G422" s="0" t="s">
        <v>1396</v>
      </c>
      <c r="H422" s="0" t="s">
        <v>67</v>
      </c>
      <c r="I422" s="0" t="s">
        <v>927</v>
      </c>
      <c r="J422" s="0" t="s">
        <v>33</v>
      </c>
      <c r="K422" s="0" t="n">
        <v>3</v>
      </c>
      <c r="L422" s="0" t="n">
        <v>1</v>
      </c>
      <c r="M422" s="0" t="n">
        <v>1</v>
      </c>
      <c r="N422" s="0" t="n">
        <v>3</v>
      </c>
      <c r="O422" s="0" t="n">
        <f aca="false">SUM(K422:N422)</f>
        <v>8</v>
      </c>
      <c r="P422" s="0" t="str">
        <f aca="false">IF(O422&gt;=15,"Yes","No")</f>
        <v>No</v>
      </c>
      <c r="Q422" s="0" t="s">
        <v>70</v>
      </c>
      <c r="R422" s="2" t="n">
        <v>654000</v>
      </c>
      <c r="S422" s="3" t="n">
        <v>0.55</v>
      </c>
      <c r="T422" s="2" t="n">
        <f aca="false">R422*S422</f>
        <v>359700</v>
      </c>
      <c r="U422" s="4" t="s">
        <v>650</v>
      </c>
    </row>
    <row r="423" customFormat="false" ht="15" hidden="false" customHeight="false" outlineLevel="0" collapsed="false">
      <c r="A423" s="0" t="s">
        <v>1397</v>
      </c>
      <c r="B423" s="0" t="s">
        <v>1089</v>
      </c>
      <c r="C423" s="0" t="s">
        <v>26</v>
      </c>
      <c r="D423" s="0" t="s">
        <v>53</v>
      </c>
      <c r="E423" s="0" t="s">
        <v>111</v>
      </c>
      <c r="F423" s="0" t="s">
        <v>112</v>
      </c>
      <c r="G423" s="0" t="s">
        <v>247</v>
      </c>
      <c r="H423" s="0" t="s">
        <v>86</v>
      </c>
      <c r="I423" s="0" t="s">
        <v>114</v>
      </c>
      <c r="J423" s="0" t="s">
        <v>78</v>
      </c>
      <c r="K423" s="0" t="n">
        <v>1</v>
      </c>
      <c r="L423" s="0" t="n">
        <v>1</v>
      </c>
      <c r="M423" s="0" t="n">
        <v>3</v>
      </c>
      <c r="N423" s="0" t="n">
        <v>1</v>
      </c>
      <c r="O423" s="0" t="n">
        <f aca="false">SUM(K423:N423)</f>
        <v>6</v>
      </c>
      <c r="P423" s="0" t="str">
        <f aca="false">IF(O423&gt;=15,"Yes","No")</f>
        <v>No</v>
      </c>
      <c r="Q423" s="0" t="s">
        <v>46</v>
      </c>
      <c r="R423" s="2" t="n">
        <v>724000</v>
      </c>
      <c r="S423" s="3" t="n">
        <v>0</v>
      </c>
      <c r="T423" s="2" t="n">
        <f aca="false">R423*S423</f>
        <v>0</v>
      </c>
      <c r="U423" s="4" t="s">
        <v>978</v>
      </c>
      <c r="V423" s="4" t="s">
        <v>144</v>
      </c>
      <c r="W423" s="0" t="n">
        <v>25</v>
      </c>
      <c r="X423" s="4" t="s">
        <v>257</v>
      </c>
    </row>
    <row r="424" customFormat="false" ht="15" hidden="false" customHeight="false" outlineLevel="0" collapsed="false">
      <c r="A424" s="0" t="s">
        <v>1398</v>
      </c>
      <c r="B424" s="0" t="s">
        <v>63</v>
      </c>
      <c r="C424" s="0" t="s">
        <v>39</v>
      </c>
      <c r="D424" s="0" t="s">
        <v>53</v>
      </c>
      <c r="E424" s="0" t="s">
        <v>111</v>
      </c>
      <c r="F424" s="0" t="s">
        <v>75</v>
      </c>
      <c r="G424" s="0" t="s">
        <v>1399</v>
      </c>
      <c r="H424" s="0" t="s">
        <v>43</v>
      </c>
      <c r="I424" s="0" t="s">
        <v>814</v>
      </c>
      <c r="J424" s="0" t="s">
        <v>45</v>
      </c>
      <c r="K424" s="0" t="n">
        <v>4</v>
      </c>
      <c r="L424" s="0" t="n">
        <v>4</v>
      </c>
      <c r="M424" s="0" t="n">
        <v>2</v>
      </c>
      <c r="N424" s="0" t="n">
        <v>4</v>
      </c>
      <c r="O424" s="0" t="n">
        <f aca="false">SUM(K424:N424)</f>
        <v>14</v>
      </c>
      <c r="P424" s="0" t="str">
        <f aca="false">IF(O424&gt;=15,"Yes","No")</f>
        <v>No</v>
      </c>
      <c r="Q424" s="0" t="s">
        <v>159</v>
      </c>
      <c r="R424" s="2" t="n">
        <v>588000</v>
      </c>
      <c r="S424" s="3" t="n">
        <v>0.05</v>
      </c>
      <c r="T424" s="2" t="n">
        <f aca="false">R424*S424</f>
        <v>29400</v>
      </c>
      <c r="U424" s="4" t="s">
        <v>340</v>
      </c>
    </row>
    <row r="425" customFormat="false" ht="15" hidden="false" customHeight="false" outlineLevel="0" collapsed="false">
      <c r="A425" s="0" t="s">
        <v>1400</v>
      </c>
      <c r="B425" s="0" t="s">
        <v>1401</v>
      </c>
      <c r="C425" s="0" t="s">
        <v>26</v>
      </c>
      <c r="D425" s="0" t="s">
        <v>64</v>
      </c>
      <c r="E425" s="0" t="s">
        <v>40</v>
      </c>
      <c r="F425" s="0" t="s">
        <v>41</v>
      </c>
      <c r="G425" s="0" t="s">
        <v>1184</v>
      </c>
      <c r="H425" s="0" t="s">
        <v>86</v>
      </c>
      <c r="I425" s="0" t="s">
        <v>356</v>
      </c>
      <c r="J425" s="0" t="s">
        <v>78</v>
      </c>
      <c r="K425" s="0" t="n">
        <v>2</v>
      </c>
      <c r="L425" s="0" t="n">
        <v>1</v>
      </c>
      <c r="M425" s="0" t="n">
        <v>1</v>
      </c>
      <c r="N425" s="0" t="n">
        <v>1</v>
      </c>
      <c r="O425" s="0" t="n">
        <f aca="false">SUM(K425:N425)</f>
        <v>5</v>
      </c>
      <c r="P425" s="0" t="str">
        <f aca="false">IF(O425&gt;=15,"Yes","No")</f>
        <v>No</v>
      </c>
      <c r="Q425" s="0" t="s">
        <v>60</v>
      </c>
      <c r="R425" s="2" t="n">
        <v>2173000</v>
      </c>
      <c r="S425" s="3" t="n">
        <v>0.15</v>
      </c>
      <c r="T425" s="2" t="n">
        <f aca="false">R425*S425</f>
        <v>325950</v>
      </c>
      <c r="U425" s="4" t="s">
        <v>1402</v>
      </c>
    </row>
    <row r="426" customFormat="false" ht="15" hidden="false" customHeight="false" outlineLevel="0" collapsed="false">
      <c r="A426" s="0" t="s">
        <v>1403</v>
      </c>
      <c r="B426" s="0" t="s">
        <v>1245</v>
      </c>
      <c r="C426" s="0" t="s">
        <v>26</v>
      </c>
      <c r="D426" s="0" t="s">
        <v>27</v>
      </c>
      <c r="E426" s="0" t="s">
        <v>178</v>
      </c>
      <c r="F426" s="0" t="s">
        <v>153</v>
      </c>
      <c r="G426" s="0" t="s">
        <v>1073</v>
      </c>
      <c r="H426" s="0" t="s">
        <v>86</v>
      </c>
      <c r="I426" s="0" t="s">
        <v>1392</v>
      </c>
      <c r="J426" s="0" t="s">
        <v>59</v>
      </c>
      <c r="K426" s="0" t="n">
        <v>1</v>
      </c>
      <c r="L426" s="0" t="n">
        <v>2</v>
      </c>
      <c r="M426" s="0" t="n">
        <v>2</v>
      </c>
      <c r="N426" s="0" t="n">
        <v>2</v>
      </c>
      <c r="O426" s="0" t="n">
        <f aca="false">SUM(K426:N426)</f>
        <v>7</v>
      </c>
      <c r="P426" s="0" t="str">
        <f aca="false">IF(O426&gt;=15,"Yes","No")</f>
        <v>No</v>
      </c>
      <c r="Q426" s="0" t="s">
        <v>60</v>
      </c>
      <c r="R426" s="2" t="n">
        <v>252000</v>
      </c>
      <c r="S426" s="3" t="n">
        <v>0.15</v>
      </c>
      <c r="T426" s="2" t="n">
        <f aca="false">R426*S426</f>
        <v>37800</v>
      </c>
      <c r="U426" s="4" t="s">
        <v>930</v>
      </c>
    </row>
    <row r="427" customFormat="false" ht="15" hidden="false" customHeight="false" outlineLevel="0" collapsed="false">
      <c r="A427" s="0" t="s">
        <v>1404</v>
      </c>
      <c r="B427" s="0" t="s">
        <v>590</v>
      </c>
      <c r="C427" s="0" t="s">
        <v>129</v>
      </c>
      <c r="D427" s="0" t="s">
        <v>53</v>
      </c>
      <c r="E427" s="0" t="s">
        <v>111</v>
      </c>
      <c r="F427" s="0" t="s">
        <v>55</v>
      </c>
      <c r="G427" s="0" t="s">
        <v>247</v>
      </c>
      <c r="H427" s="0" t="s">
        <v>86</v>
      </c>
      <c r="I427" s="0" t="s">
        <v>1394</v>
      </c>
      <c r="J427" s="0" t="s">
        <v>45</v>
      </c>
      <c r="K427" s="0" t="n">
        <v>2</v>
      </c>
      <c r="L427" s="0" t="n">
        <v>2</v>
      </c>
      <c r="M427" s="0" t="n">
        <v>1</v>
      </c>
      <c r="N427" s="0" t="n">
        <v>1</v>
      </c>
      <c r="O427" s="0" t="n">
        <f aca="false">SUM(K427:N427)</f>
        <v>6</v>
      </c>
      <c r="P427" s="0" t="str">
        <f aca="false">IF(O427&gt;=15,"Yes","No")</f>
        <v>No</v>
      </c>
      <c r="Q427" s="0" t="s">
        <v>46</v>
      </c>
      <c r="R427" s="2" t="n">
        <v>510000</v>
      </c>
      <c r="S427" s="3" t="n">
        <v>0</v>
      </c>
      <c r="T427" s="2" t="n">
        <f aca="false">R427*S427</f>
        <v>0</v>
      </c>
      <c r="U427" s="4" t="s">
        <v>1405</v>
      </c>
      <c r="V427" s="4" t="s">
        <v>1090</v>
      </c>
      <c r="W427" s="0" t="n">
        <v>36</v>
      </c>
      <c r="X427" s="4" t="s">
        <v>257</v>
      </c>
    </row>
    <row r="428" customFormat="false" ht="15" hidden="false" customHeight="false" outlineLevel="0" collapsed="false">
      <c r="A428" s="0" t="s">
        <v>1406</v>
      </c>
      <c r="B428" s="0" t="s">
        <v>1077</v>
      </c>
      <c r="C428" s="0" t="s">
        <v>152</v>
      </c>
      <c r="D428" s="0" t="s">
        <v>27</v>
      </c>
      <c r="E428" s="0" t="s">
        <v>105</v>
      </c>
      <c r="F428" s="0" t="s">
        <v>55</v>
      </c>
      <c r="G428" s="0" t="s">
        <v>205</v>
      </c>
      <c r="H428" s="0" t="s">
        <v>67</v>
      </c>
      <c r="I428" s="0" t="s">
        <v>1319</v>
      </c>
      <c r="J428" s="0" t="s">
        <v>69</v>
      </c>
      <c r="K428" s="0" t="n">
        <v>3</v>
      </c>
      <c r="L428" s="0" t="n">
        <v>1</v>
      </c>
      <c r="M428" s="0" t="n">
        <v>5</v>
      </c>
      <c r="N428" s="0" t="n">
        <v>3</v>
      </c>
      <c r="O428" s="0" t="n">
        <f aca="false">SUM(K428:N428)</f>
        <v>12</v>
      </c>
      <c r="P428" s="0" t="str">
        <f aca="false">IF(O428&gt;=15,"Yes","No")</f>
        <v>No</v>
      </c>
      <c r="Q428" s="0" t="s">
        <v>46</v>
      </c>
      <c r="R428" s="2" t="n">
        <v>170000</v>
      </c>
      <c r="S428" s="3" t="n">
        <v>0</v>
      </c>
      <c r="T428" s="2" t="n">
        <f aca="false">R428*S428</f>
        <v>0</v>
      </c>
      <c r="U428" s="4" t="s">
        <v>1407</v>
      </c>
      <c r="V428" s="4" t="s">
        <v>1408</v>
      </c>
      <c r="W428" s="0" t="n">
        <v>33</v>
      </c>
      <c r="X428" s="4" t="s">
        <v>257</v>
      </c>
    </row>
    <row r="429" customFormat="false" ht="15" hidden="false" customHeight="false" outlineLevel="0" collapsed="false">
      <c r="A429" s="0" t="s">
        <v>1409</v>
      </c>
      <c r="B429" s="0" t="s">
        <v>700</v>
      </c>
      <c r="C429" s="0" t="s">
        <v>39</v>
      </c>
      <c r="D429" s="0" t="s">
        <v>27</v>
      </c>
      <c r="E429" s="0" t="s">
        <v>178</v>
      </c>
      <c r="F429" s="0" t="s">
        <v>75</v>
      </c>
      <c r="G429" s="0" t="s">
        <v>701</v>
      </c>
      <c r="H429" s="0" t="s">
        <v>86</v>
      </c>
      <c r="I429" s="0" t="s">
        <v>206</v>
      </c>
      <c r="J429" s="0" t="s">
        <v>45</v>
      </c>
      <c r="K429" s="0" t="n">
        <v>1</v>
      </c>
      <c r="L429" s="0" t="n">
        <v>3</v>
      </c>
      <c r="M429" s="0" t="n">
        <v>2</v>
      </c>
      <c r="N429" s="0" t="n">
        <v>1</v>
      </c>
      <c r="O429" s="0" t="n">
        <f aca="false">SUM(K429:N429)</f>
        <v>7</v>
      </c>
      <c r="P429" s="0" t="str">
        <f aca="false">IF(O429&gt;=15,"Yes","No")</f>
        <v>No</v>
      </c>
      <c r="Q429" s="0" t="s">
        <v>60</v>
      </c>
      <c r="R429" s="2" t="n">
        <v>169000</v>
      </c>
      <c r="S429" s="3" t="n">
        <v>0.15</v>
      </c>
      <c r="T429" s="2" t="n">
        <f aca="false">R429*S429</f>
        <v>25350</v>
      </c>
      <c r="U429" s="4" t="s">
        <v>108</v>
      </c>
    </row>
    <row r="430" customFormat="false" ht="15" hidden="false" customHeight="false" outlineLevel="0" collapsed="false">
      <c r="A430" s="0" t="s">
        <v>1410</v>
      </c>
      <c r="B430" s="0" t="s">
        <v>1411</v>
      </c>
      <c r="C430" s="0" t="s">
        <v>184</v>
      </c>
      <c r="D430" s="0" t="s">
        <v>27</v>
      </c>
      <c r="E430" s="0" t="s">
        <v>40</v>
      </c>
      <c r="F430" s="0" t="s">
        <v>130</v>
      </c>
      <c r="G430" s="0" t="s">
        <v>572</v>
      </c>
      <c r="H430" s="0" t="s">
        <v>57</v>
      </c>
      <c r="I430" s="0" t="s">
        <v>763</v>
      </c>
      <c r="J430" s="0" t="s">
        <v>69</v>
      </c>
      <c r="K430" s="0" t="n">
        <v>1</v>
      </c>
      <c r="L430" s="0" t="n">
        <v>2</v>
      </c>
      <c r="M430" s="0" t="n">
        <v>1</v>
      </c>
      <c r="N430" s="0" t="n">
        <v>3</v>
      </c>
      <c r="O430" s="0" t="n">
        <f aca="false">SUM(K430:N430)</f>
        <v>7</v>
      </c>
      <c r="P430" s="0" t="str">
        <f aca="false">IF(O430&gt;=15,"Yes","No")</f>
        <v>No</v>
      </c>
      <c r="Q430" s="0" t="s">
        <v>159</v>
      </c>
      <c r="R430" s="2" t="n">
        <v>142000</v>
      </c>
      <c r="S430" s="3" t="n">
        <v>0.05</v>
      </c>
      <c r="T430" s="2" t="n">
        <f aca="false">R430*S430</f>
        <v>7100</v>
      </c>
      <c r="U430" s="4" t="s">
        <v>1412</v>
      </c>
    </row>
    <row r="431" customFormat="false" ht="15" hidden="false" customHeight="false" outlineLevel="0" collapsed="false">
      <c r="A431" s="0" t="s">
        <v>1413</v>
      </c>
      <c r="B431" s="0" t="s">
        <v>478</v>
      </c>
      <c r="C431" s="0" t="s">
        <v>26</v>
      </c>
      <c r="D431" s="0" t="s">
        <v>53</v>
      </c>
      <c r="E431" s="0" t="s">
        <v>54</v>
      </c>
      <c r="F431" s="0" t="s">
        <v>130</v>
      </c>
      <c r="G431" s="0" t="s">
        <v>503</v>
      </c>
      <c r="H431" s="0" t="s">
        <v>86</v>
      </c>
      <c r="I431" s="0" t="s">
        <v>207</v>
      </c>
      <c r="J431" s="0" t="s">
        <v>45</v>
      </c>
      <c r="K431" s="0" t="n">
        <v>1</v>
      </c>
      <c r="L431" s="0" t="n">
        <v>4</v>
      </c>
      <c r="M431" s="0" t="n">
        <v>1</v>
      </c>
      <c r="N431" s="0" t="n">
        <v>2</v>
      </c>
      <c r="O431" s="0" t="n">
        <f aca="false">SUM(K431:N431)</f>
        <v>8</v>
      </c>
      <c r="P431" s="0" t="str">
        <f aca="false">IF(O431&gt;=15,"Yes","No")</f>
        <v>No</v>
      </c>
      <c r="Q431" s="0" t="s">
        <v>46</v>
      </c>
      <c r="R431" s="2" t="n">
        <v>816000</v>
      </c>
      <c r="S431" s="3" t="n">
        <v>0</v>
      </c>
      <c r="T431" s="2" t="n">
        <f aca="false">R431*S431</f>
        <v>0</v>
      </c>
      <c r="U431" s="4" t="s">
        <v>520</v>
      </c>
      <c r="V431" s="4" t="s">
        <v>969</v>
      </c>
      <c r="W431" s="0" t="n">
        <v>42</v>
      </c>
      <c r="X431" s="4" t="s">
        <v>257</v>
      </c>
    </row>
    <row r="432" customFormat="false" ht="15" hidden="false" customHeight="false" outlineLevel="0" collapsed="false">
      <c r="A432" s="0" t="s">
        <v>1414</v>
      </c>
      <c r="B432" s="0" t="s">
        <v>458</v>
      </c>
      <c r="C432" s="0" t="s">
        <v>39</v>
      </c>
      <c r="D432" s="0" t="s">
        <v>64</v>
      </c>
      <c r="E432" s="0" t="s">
        <v>65</v>
      </c>
      <c r="F432" s="0" t="s">
        <v>55</v>
      </c>
      <c r="G432" s="0" t="s">
        <v>889</v>
      </c>
      <c r="H432" s="0" t="s">
        <v>31</v>
      </c>
      <c r="I432" s="0" t="s">
        <v>1415</v>
      </c>
      <c r="J432" s="0" t="s">
        <v>33</v>
      </c>
      <c r="K432" s="0" t="n">
        <v>5</v>
      </c>
      <c r="L432" s="0" t="n">
        <v>2</v>
      </c>
      <c r="M432" s="0" t="n">
        <v>3</v>
      </c>
      <c r="N432" s="0" t="n">
        <v>4</v>
      </c>
      <c r="O432" s="0" t="n">
        <f aca="false">SUM(K432:N432)</f>
        <v>14</v>
      </c>
      <c r="P432" s="0" t="str">
        <f aca="false">IF(O432&gt;=15,"Yes","No")</f>
        <v>No</v>
      </c>
      <c r="Q432" s="0" t="s">
        <v>115</v>
      </c>
      <c r="R432" s="2" t="n">
        <v>1702000</v>
      </c>
      <c r="S432" s="3" t="n">
        <v>0.35</v>
      </c>
      <c r="T432" s="2" t="n">
        <f aca="false">R432*S432</f>
        <v>595700</v>
      </c>
      <c r="U432" s="4" t="s">
        <v>1197</v>
      </c>
    </row>
    <row r="433" customFormat="false" ht="15" hidden="false" customHeight="false" outlineLevel="0" collapsed="false">
      <c r="A433" s="0" t="s">
        <v>1416</v>
      </c>
      <c r="B433" s="0" t="s">
        <v>1417</v>
      </c>
      <c r="C433" s="0" t="s">
        <v>264</v>
      </c>
      <c r="D433" s="0" t="s">
        <v>27</v>
      </c>
      <c r="E433" s="0" t="s">
        <v>92</v>
      </c>
      <c r="F433" s="0" t="s">
        <v>112</v>
      </c>
      <c r="G433" s="0" t="s">
        <v>1254</v>
      </c>
      <c r="H433" s="0" t="s">
        <v>86</v>
      </c>
      <c r="I433" s="0" t="s">
        <v>1418</v>
      </c>
      <c r="J433" s="0" t="s">
        <v>59</v>
      </c>
      <c r="K433" s="0" t="n">
        <v>1</v>
      </c>
      <c r="L433" s="0" t="n">
        <v>4</v>
      </c>
      <c r="M433" s="0" t="n">
        <v>1</v>
      </c>
      <c r="N433" s="0" t="n">
        <v>1</v>
      </c>
      <c r="O433" s="0" t="n">
        <f aca="false">SUM(K433:N433)</f>
        <v>7</v>
      </c>
      <c r="P433" s="0" t="str">
        <f aca="false">IF(O433&gt;=15,"Yes","No")</f>
        <v>No</v>
      </c>
      <c r="Q433" s="0" t="s">
        <v>60</v>
      </c>
      <c r="R433" s="2" t="n">
        <v>171000</v>
      </c>
      <c r="S433" s="3" t="n">
        <v>0.15</v>
      </c>
      <c r="T433" s="2" t="n">
        <f aca="false">R433*S433</f>
        <v>25650</v>
      </c>
      <c r="U433" s="4" t="s">
        <v>441</v>
      </c>
    </row>
    <row r="434" customFormat="false" ht="15" hidden="false" customHeight="false" outlineLevel="0" collapsed="false">
      <c r="A434" s="0" t="s">
        <v>1419</v>
      </c>
      <c r="B434" s="0" t="s">
        <v>833</v>
      </c>
      <c r="C434" s="0" t="s">
        <v>129</v>
      </c>
      <c r="D434" s="0" t="s">
        <v>27</v>
      </c>
      <c r="E434" s="0" t="s">
        <v>111</v>
      </c>
      <c r="F434" s="0" t="s">
        <v>130</v>
      </c>
      <c r="G434" s="0" t="s">
        <v>610</v>
      </c>
      <c r="H434" s="0" t="s">
        <v>67</v>
      </c>
      <c r="I434" s="0" t="s">
        <v>1158</v>
      </c>
      <c r="J434" s="0" t="s">
        <v>59</v>
      </c>
      <c r="K434" s="0" t="n">
        <v>3</v>
      </c>
      <c r="L434" s="0" t="n">
        <v>4</v>
      </c>
      <c r="M434" s="0" t="n">
        <v>5</v>
      </c>
      <c r="N434" s="0" t="n">
        <v>4</v>
      </c>
      <c r="O434" s="0" t="n">
        <f aca="false">SUM(K434:N434)</f>
        <v>16</v>
      </c>
      <c r="P434" s="0" t="str">
        <f aca="false">IF(O434&gt;=15,"Yes","No")</f>
        <v>Yes</v>
      </c>
      <c r="Q434" s="0" t="s">
        <v>70</v>
      </c>
      <c r="R434" s="2" t="n">
        <v>215000</v>
      </c>
      <c r="S434" s="3" t="n">
        <v>0.55</v>
      </c>
      <c r="T434" s="2" t="n">
        <f aca="false">R434*S434</f>
        <v>118250</v>
      </c>
      <c r="U434" s="4" t="s">
        <v>1420</v>
      </c>
    </row>
    <row r="435" customFormat="false" ht="15" hidden="false" customHeight="false" outlineLevel="0" collapsed="false">
      <c r="A435" s="0" t="s">
        <v>1421</v>
      </c>
      <c r="B435" s="0" t="s">
        <v>209</v>
      </c>
      <c r="C435" s="0" t="s">
        <v>39</v>
      </c>
      <c r="D435" s="0" t="s">
        <v>53</v>
      </c>
      <c r="E435" s="0" t="s">
        <v>99</v>
      </c>
      <c r="F435" s="0" t="s">
        <v>153</v>
      </c>
      <c r="G435" s="0" t="s">
        <v>1375</v>
      </c>
      <c r="H435" s="0" t="s">
        <v>57</v>
      </c>
      <c r="I435" s="0" t="s">
        <v>905</v>
      </c>
      <c r="J435" s="0" t="s">
        <v>78</v>
      </c>
      <c r="K435" s="0" t="n">
        <v>3</v>
      </c>
      <c r="L435" s="0" t="n">
        <v>3</v>
      </c>
      <c r="M435" s="0" t="n">
        <v>3</v>
      </c>
      <c r="N435" s="0" t="n">
        <v>1</v>
      </c>
      <c r="O435" s="0" t="n">
        <f aca="false">SUM(K435:N435)</f>
        <v>10</v>
      </c>
      <c r="P435" s="0" t="str">
        <f aca="false">IF(O435&gt;=15,"Yes","No")</f>
        <v>No</v>
      </c>
      <c r="Q435" s="0" t="s">
        <v>159</v>
      </c>
      <c r="R435" s="2" t="n">
        <v>715000</v>
      </c>
      <c r="S435" s="3" t="n">
        <v>0.05</v>
      </c>
      <c r="T435" s="2" t="n">
        <f aca="false">R435*S435</f>
        <v>35750</v>
      </c>
      <c r="U435" s="4" t="s">
        <v>121</v>
      </c>
    </row>
    <row r="436" customFormat="false" ht="15" hidden="false" customHeight="false" outlineLevel="0" collapsed="false">
      <c r="A436" s="0" t="s">
        <v>1422</v>
      </c>
      <c r="B436" s="0" t="s">
        <v>1151</v>
      </c>
      <c r="C436" s="0" t="s">
        <v>26</v>
      </c>
      <c r="D436" s="0" t="s">
        <v>53</v>
      </c>
      <c r="E436" s="0" t="s">
        <v>54</v>
      </c>
      <c r="F436" s="0" t="s">
        <v>179</v>
      </c>
      <c r="G436" s="0" t="s">
        <v>1423</v>
      </c>
      <c r="H436" s="0" t="s">
        <v>57</v>
      </c>
      <c r="I436" s="0" t="s">
        <v>694</v>
      </c>
      <c r="J436" s="0" t="s">
        <v>69</v>
      </c>
      <c r="K436" s="0" t="n">
        <v>3</v>
      </c>
      <c r="L436" s="0" t="n">
        <v>4</v>
      </c>
      <c r="M436" s="0" t="n">
        <v>1</v>
      </c>
      <c r="N436" s="0" t="n">
        <v>2</v>
      </c>
      <c r="O436" s="0" t="n">
        <f aca="false">SUM(K436:N436)</f>
        <v>10</v>
      </c>
      <c r="P436" s="0" t="str">
        <f aca="false">IF(O436&gt;=15,"Yes","No")</f>
        <v>No</v>
      </c>
      <c r="Q436" s="0" t="s">
        <v>60</v>
      </c>
      <c r="R436" s="2" t="n">
        <v>851000</v>
      </c>
      <c r="S436" s="3" t="n">
        <v>0.15</v>
      </c>
      <c r="T436" s="2" t="n">
        <f aca="false">R436*S436</f>
        <v>127650</v>
      </c>
      <c r="U436" s="4" t="s">
        <v>164</v>
      </c>
    </row>
    <row r="437" customFormat="false" ht="15" hidden="false" customHeight="false" outlineLevel="0" collapsed="false">
      <c r="A437" s="0" t="s">
        <v>1424</v>
      </c>
      <c r="B437" s="0" t="s">
        <v>425</v>
      </c>
      <c r="C437" s="0" t="s">
        <v>129</v>
      </c>
      <c r="D437" s="0" t="s">
        <v>64</v>
      </c>
      <c r="E437" s="0" t="s">
        <v>65</v>
      </c>
      <c r="F437" s="0" t="s">
        <v>153</v>
      </c>
      <c r="G437" s="0" t="s">
        <v>802</v>
      </c>
      <c r="H437" s="0" t="s">
        <v>248</v>
      </c>
      <c r="I437" s="0" t="s">
        <v>1425</v>
      </c>
      <c r="J437" s="0" t="s">
        <v>45</v>
      </c>
      <c r="K437" s="0" t="n">
        <v>4</v>
      </c>
      <c r="L437" s="0" t="n">
        <v>4</v>
      </c>
      <c r="M437" s="0" t="n">
        <v>3</v>
      </c>
      <c r="N437" s="0" t="n">
        <v>3</v>
      </c>
      <c r="O437" s="0" t="n">
        <f aca="false">SUM(K437:N437)</f>
        <v>14</v>
      </c>
      <c r="P437" s="0" t="str">
        <f aca="false">IF(O437&gt;=15,"Yes","No")</f>
        <v>No</v>
      </c>
      <c r="Q437" s="0" t="s">
        <v>115</v>
      </c>
      <c r="R437" s="2" t="n">
        <v>2253000</v>
      </c>
      <c r="S437" s="3" t="n">
        <v>0.35</v>
      </c>
      <c r="T437" s="2" t="n">
        <f aca="false">R437*S437</f>
        <v>788550</v>
      </c>
      <c r="U437" s="4" t="s">
        <v>1117</v>
      </c>
    </row>
    <row r="438" customFormat="false" ht="15" hidden="false" customHeight="false" outlineLevel="0" collapsed="false">
      <c r="A438" s="0" t="s">
        <v>1426</v>
      </c>
      <c r="B438" s="0" t="s">
        <v>646</v>
      </c>
      <c r="C438" s="0" t="s">
        <v>264</v>
      </c>
      <c r="D438" s="0" t="s">
        <v>53</v>
      </c>
      <c r="E438" s="0" t="s">
        <v>178</v>
      </c>
      <c r="F438" s="0" t="s">
        <v>153</v>
      </c>
      <c r="G438" s="0" t="s">
        <v>1427</v>
      </c>
      <c r="H438" s="0" t="s">
        <v>43</v>
      </c>
      <c r="I438" s="0" t="s">
        <v>957</v>
      </c>
      <c r="J438" s="0" t="s">
        <v>45</v>
      </c>
      <c r="K438" s="0" t="n">
        <v>2</v>
      </c>
      <c r="L438" s="0" t="n">
        <v>4</v>
      </c>
      <c r="M438" s="0" t="n">
        <v>5</v>
      </c>
      <c r="N438" s="0" t="n">
        <v>4</v>
      </c>
      <c r="O438" s="0" t="n">
        <f aca="false">SUM(K438:N438)</f>
        <v>15</v>
      </c>
      <c r="P438" s="0" t="str">
        <f aca="false">IF(O438&gt;=15,"Yes","No")</f>
        <v>Yes</v>
      </c>
      <c r="Q438" s="0" t="s">
        <v>60</v>
      </c>
      <c r="R438" s="2" t="n">
        <v>736000</v>
      </c>
      <c r="S438" s="3" t="n">
        <v>0.15</v>
      </c>
      <c r="T438" s="2" t="n">
        <f aca="false">R438*S438</f>
        <v>110400</v>
      </c>
      <c r="U438" s="4" t="s">
        <v>1222</v>
      </c>
    </row>
    <row r="439" customFormat="false" ht="15" hidden="false" customHeight="false" outlineLevel="0" collapsed="false">
      <c r="A439" s="0" t="s">
        <v>1428</v>
      </c>
      <c r="B439" s="0" t="s">
        <v>98</v>
      </c>
      <c r="C439" s="0" t="s">
        <v>39</v>
      </c>
      <c r="D439" s="0" t="s">
        <v>27</v>
      </c>
      <c r="E439" s="0" t="s">
        <v>136</v>
      </c>
      <c r="F439" s="0" t="s">
        <v>130</v>
      </c>
      <c r="G439" s="0" t="s">
        <v>1429</v>
      </c>
      <c r="H439" s="0" t="s">
        <v>57</v>
      </c>
      <c r="I439" s="0" t="s">
        <v>785</v>
      </c>
      <c r="J439" s="0" t="s">
        <v>59</v>
      </c>
      <c r="K439" s="0" t="n">
        <v>3</v>
      </c>
      <c r="L439" s="0" t="n">
        <v>1</v>
      </c>
      <c r="M439" s="0" t="n">
        <v>3</v>
      </c>
      <c r="N439" s="0" t="n">
        <v>2</v>
      </c>
      <c r="O439" s="0" t="n">
        <f aca="false">SUM(K439:N439)</f>
        <v>9</v>
      </c>
      <c r="P439" s="0" t="str">
        <f aca="false">IF(O439&gt;=15,"Yes","No")</f>
        <v>No</v>
      </c>
      <c r="Q439" s="0" t="s">
        <v>34</v>
      </c>
      <c r="R439" s="2" t="n">
        <v>164000</v>
      </c>
      <c r="S439" s="3" t="n">
        <v>1</v>
      </c>
      <c r="T439" s="2" t="n">
        <f aca="false">R439*S439</f>
        <v>164000</v>
      </c>
      <c r="U439" s="4" t="s">
        <v>1207</v>
      </c>
      <c r="V439" s="4" t="s">
        <v>1430</v>
      </c>
      <c r="W439" s="0" t="n">
        <v>37</v>
      </c>
    </row>
    <row r="440" customFormat="false" ht="15" hidden="false" customHeight="false" outlineLevel="0" collapsed="false">
      <c r="A440" s="0" t="s">
        <v>1431</v>
      </c>
      <c r="B440" s="0" t="s">
        <v>1061</v>
      </c>
      <c r="C440" s="0" t="s">
        <v>74</v>
      </c>
      <c r="D440" s="0" t="s">
        <v>53</v>
      </c>
      <c r="E440" s="0" t="s">
        <v>142</v>
      </c>
      <c r="F440" s="0" t="s">
        <v>179</v>
      </c>
      <c r="G440" s="0" t="s">
        <v>1432</v>
      </c>
      <c r="H440" s="0" t="s">
        <v>43</v>
      </c>
      <c r="I440" s="0" t="s">
        <v>857</v>
      </c>
      <c r="J440" s="0" t="s">
        <v>45</v>
      </c>
      <c r="K440" s="0" t="n">
        <v>4</v>
      </c>
      <c r="L440" s="0" t="n">
        <v>5</v>
      </c>
      <c r="M440" s="0" t="n">
        <v>3</v>
      </c>
      <c r="N440" s="0" t="n">
        <v>5</v>
      </c>
      <c r="O440" s="0" t="n">
        <f aca="false">SUM(K440:N440)</f>
        <v>17</v>
      </c>
      <c r="P440" s="0" t="str">
        <f aca="false">IF(O440&gt;=15,"Yes","No")</f>
        <v>Yes</v>
      </c>
      <c r="Q440" s="0" t="s">
        <v>60</v>
      </c>
      <c r="R440" s="2" t="n">
        <v>898000</v>
      </c>
      <c r="S440" s="3" t="n">
        <v>0.15</v>
      </c>
      <c r="T440" s="2" t="n">
        <f aca="false">R440*S440</f>
        <v>134700</v>
      </c>
      <c r="U440" s="4" t="s">
        <v>1433</v>
      </c>
    </row>
    <row r="441" customFormat="false" ht="15" hidden="false" customHeight="false" outlineLevel="0" collapsed="false">
      <c r="A441" s="0" t="s">
        <v>1434</v>
      </c>
      <c r="B441" s="0" t="s">
        <v>1417</v>
      </c>
      <c r="C441" s="0" t="s">
        <v>74</v>
      </c>
      <c r="D441" s="0" t="s">
        <v>27</v>
      </c>
      <c r="E441" s="0" t="s">
        <v>142</v>
      </c>
      <c r="F441" s="0" t="s">
        <v>179</v>
      </c>
      <c r="G441" s="0" t="s">
        <v>1432</v>
      </c>
      <c r="H441" s="0" t="s">
        <v>31</v>
      </c>
      <c r="I441" s="0" t="s">
        <v>1435</v>
      </c>
      <c r="J441" s="0" t="s">
        <v>45</v>
      </c>
      <c r="K441" s="0" t="n">
        <v>3</v>
      </c>
      <c r="L441" s="0" t="n">
        <v>4</v>
      </c>
      <c r="M441" s="0" t="n">
        <v>3</v>
      </c>
      <c r="N441" s="0" t="n">
        <v>5</v>
      </c>
      <c r="O441" s="0" t="n">
        <f aca="false">SUM(K441:N441)</f>
        <v>15</v>
      </c>
      <c r="P441" s="0" t="str">
        <f aca="false">IF(O441&gt;=15,"Yes","No")</f>
        <v>Yes</v>
      </c>
      <c r="Q441" s="0" t="s">
        <v>46</v>
      </c>
      <c r="R441" s="2" t="n">
        <v>233000</v>
      </c>
      <c r="S441" s="3" t="n">
        <v>0</v>
      </c>
      <c r="T441" s="2" t="n">
        <f aca="false">R441*S441</f>
        <v>0</v>
      </c>
      <c r="U441" s="4" t="s">
        <v>803</v>
      </c>
      <c r="V441" s="4" t="s">
        <v>644</v>
      </c>
      <c r="W441" s="0" t="n">
        <v>20</v>
      </c>
      <c r="X441" s="4" t="s">
        <v>310</v>
      </c>
    </row>
    <row r="442" customFormat="false" ht="15" hidden="false" customHeight="false" outlineLevel="0" collapsed="false">
      <c r="A442" s="0" t="s">
        <v>1436</v>
      </c>
      <c r="B442" s="0" t="s">
        <v>1061</v>
      </c>
      <c r="C442" s="0" t="s">
        <v>264</v>
      </c>
      <c r="D442" s="0" t="s">
        <v>27</v>
      </c>
      <c r="E442" s="0" t="s">
        <v>111</v>
      </c>
      <c r="F442" s="0" t="s">
        <v>153</v>
      </c>
      <c r="G442" s="0" t="s">
        <v>1437</v>
      </c>
      <c r="H442" s="0" t="s">
        <v>67</v>
      </c>
      <c r="I442" s="0" t="s">
        <v>520</v>
      </c>
      <c r="J442" s="0" t="s">
        <v>59</v>
      </c>
      <c r="K442" s="0" t="n">
        <v>3</v>
      </c>
      <c r="L442" s="0" t="n">
        <v>4</v>
      </c>
      <c r="M442" s="0" t="n">
        <v>4</v>
      </c>
      <c r="N442" s="0" t="n">
        <v>4</v>
      </c>
      <c r="O442" s="0" t="n">
        <f aca="false">SUM(K442:N442)</f>
        <v>15</v>
      </c>
      <c r="P442" s="0" t="str">
        <f aca="false">IF(O442&gt;=15,"Yes","No")</f>
        <v>Yes</v>
      </c>
      <c r="Q442" s="0" t="s">
        <v>115</v>
      </c>
      <c r="R442" s="2" t="n">
        <v>245000</v>
      </c>
      <c r="S442" s="3" t="n">
        <v>0.35</v>
      </c>
      <c r="T442" s="2" t="n">
        <f aca="false">R442*S442</f>
        <v>85750</v>
      </c>
      <c r="U442" s="4" t="s">
        <v>1053</v>
      </c>
    </row>
    <row r="443" customFormat="false" ht="15" hidden="false" customHeight="false" outlineLevel="0" collapsed="false">
      <c r="A443" s="0" t="s">
        <v>1438</v>
      </c>
      <c r="B443" s="0" t="s">
        <v>1439</v>
      </c>
      <c r="C443" s="0" t="s">
        <v>52</v>
      </c>
      <c r="D443" s="0" t="s">
        <v>27</v>
      </c>
      <c r="E443" s="0" t="s">
        <v>178</v>
      </c>
      <c r="F443" s="0" t="s">
        <v>41</v>
      </c>
      <c r="G443" s="0" t="s">
        <v>999</v>
      </c>
      <c r="H443" s="0" t="s">
        <v>43</v>
      </c>
      <c r="I443" s="0" t="s">
        <v>462</v>
      </c>
      <c r="J443" s="0" t="s">
        <v>59</v>
      </c>
      <c r="K443" s="0" t="n">
        <v>5</v>
      </c>
      <c r="L443" s="0" t="n">
        <v>5</v>
      </c>
      <c r="M443" s="0" t="n">
        <v>5</v>
      </c>
      <c r="N443" s="0" t="n">
        <v>5</v>
      </c>
      <c r="O443" s="0" t="n">
        <f aca="false">SUM(K443:N443)</f>
        <v>20</v>
      </c>
      <c r="P443" s="0" t="str">
        <f aca="false">IF(O443&gt;=15,"Yes","No")</f>
        <v>Yes</v>
      </c>
      <c r="Q443" s="0" t="s">
        <v>34</v>
      </c>
      <c r="R443" s="2" t="n">
        <v>191000</v>
      </c>
      <c r="S443" s="3" t="n">
        <v>1</v>
      </c>
      <c r="T443" s="2" t="n">
        <f aca="false">R443*S443</f>
        <v>191000</v>
      </c>
      <c r="U443" s="4" t="s">
        <v>1005</v>
      </c>
      <c r="V443" s="4" t="s">
        <v>547</v>
      </c>
      <c r="W443" s="0" t="n">
        <v>25</v>
      </c>
    </row>
    <row r="444" customFormat="false" ht="15" hidden="false" customHeight="false" outlineLevel="0" collapsed="false">
      <c r="A444" s="0" t="s">
        <v>1440</v>
      </c>
      <c r="B444" s="0" t="s">
        <v>1441</v>
      </c>
      <c r="C444" s="0" t="s">
        <v>26</v>
      </c>
      <c r="D444" s="0" t="s">
        <v>27</v>
      </c>
      <c r="E444" s="0" t="s">
        <v>136</v>
      </c>
      <c r="F444" s="0" t="s">
        <v>75</v>
      </c>
      <c r="G444" s="0" t="s">
        <v>1165</v>
      </c>
      <c r="H444" s="0" t="s">
        <v>43</v>
      </c>
      <c r="I444" s="0" t="s">
        <v>1345</v>
      </c>
      <c r="J444" s="0" t="s">
        <v>78</v>
      </c>
      <c r="K444" s="0" t="n">
        <v>4</v>
      </c>
      <c r="L444" s="0" t="n">
        <v>4</v>
      </c>
      <c r="M444" s="0" t="n">
        <v>3</v>
      </c>
      <c r="N444" s="0" t="n">
        <v>2</v>
      </c>
      <c r="O444" s="0" t="n">
        <f aca="false">SUM(K444:N444)</f>
        <v>13</v>
      </c>
      <c r="P444" s="0" t="str">
        <f aca="false">IF(O444&gt;=15,"Yes","No")</f>
        <v>No</v>
      </c>
      <c r="Q444" s="0" t="s">
        <v>159</v>
      </c>
      <c r="R444" s="2" t="n">
        <v>200000</v>
      </c>
      <c r="S444" s="3" t="n">
        <v>0.05</v>
      </c>
      <c r="T444" s="2" t="n">
        <f aca="false">R444*S444</f>
        <v>10000</v>
      </c>
      <c r="U444" s="4" t="s">
        <v>866</v>
      </c>
    </row>
    <row r="445" customFormat="false" ht="15" hidden="false" customHeight="false" outlineLevel="0" collapsed="false">
      <c r="A445" s="0" t="s">
        <v>1442</v>
      </c>
      <c r="B445" s="0" t="s">
        <v>646</v>
      </c>
      <c r="C445" s="0" t="s">
        <v>74</v>
      </c>
      <c r="D445" s="0" t="s">
        <v>27</v>
      </c>
      <c r="E445" s="0" t="s">
        <v>105</v>
      </c>
      <c r="F445" s="0" t="s">
        <v>41</v>
      </c>
      <c r="G445" s="0" t="s">
        <v>647</v>
      </c>
      <c r="H445" s="0" t="s">
        <v>248</v>
      </c>
      <c r="I445" s="0" t="s">
        <v>782</v>
      </c>
      <c r="J445" s="0" t="s">
        <v>45</v>
      </c>
      <c r="K445" s="0" t="n">
        <v>3</v>
      </c>
      <c r="L445" s="0" t="n">
        <v>2</v>
      </c>
      <c r="M445" s="0" t="n">
        <v>3</v>
      </c>
      <c r="N445" s="0" t="n">
        <v>5</v>
      </c>
      <c r="O445" s="0" t="n">
        <f aca="false">SUM(K445:N445)</f>
        <v>13</v>
      </c>
      <c r="P445" s="0" t="str">
        <f aca="false">IF(O445&gt;=15,"Yes","No")</f>
        <v>No</v>
      </c>
      <c r="Q445" s="0" t="s">
        <v>46</v>
      </c>
      <c r="R445" s="2" t="n">
        <v>238000</v>
      </c>
      <c r="S445" s="3" t="n">
        <v>0</v>
      </c>
      <c r="T445" s="2" t="n">
        <f aca="false">R445*S445</f>
        <v>0</v>
      </c>
      <c r="U445" s="4" t="s">
        <v>198</v>
      </c>
      <c r="V445" s="4" t="s">
        <v>633</v>
      </c>
      <c r="W445" s="0" t="n">
        <v>22</v>
      </c>
      <c r="X445" s="4" t="s">
        <v>326</v>
      </c>
    </row>
    <row r="446" customFormat="false" ht="15" hidden="false" customHeight="false" outlineLevel="0" collapsed="false">
      <c r="A446" s="0" t="s">
        <v>1443</v>
      </c>
      <c r="B446" s="0" t="s">
        <v>1022</v>
      </c>
      <c r="C446" s="0" t="s">
        <v>74</v>
      </c>
      <c r="D446" s="0" t="s">
        <v>27</v>
      </c>
      <c r="E446" s="0" t="s">
        <v>215</v>
      </c>
      <c r="F446" s="0" t="s">
        <v>179</v>
      </c>
      <c r="G446" s="0" t="s">
        <v>1444</v>
      </c>
      <c r="H446" s="0" t="s">
        <v>67</v>
      </c>
      <c r="I446" s="0" t="s">
        <v>782</v>
      </c>
      <c r="J446" s="0" t="s">
        <v>33</v>
      </c>
      <c r="K446" s="0" t="n">
        <v>3</v>
      </c>
      <c r="L446" s="0" t="n">
        <v>3</v>
      </c>
      <c r="M446" s="0" t="n">
        <v>2</v>
      </c>
      <c r="N446" s="0" t="n">
        <v>5</v>
      </c>
      <c r="O446" s="0" t="n">
        <f aca="false">SUM(K446:N446)</f>
        <v>13</v>
      </c>
      <c r="P446" s="0" t="str">
        <f aca="false">IF(O446&gt;=15,"Yes","No")</f>
        <v>No</v>
      </c>
      <c r="Q446" s="0" t="s">
        <v>46</v>
      </c>
      <c r="R446" s="2" t="n">
        <v>192000</v>
      </c>
      <c r="S446" s="3" t="n">
        <v>0</v>
      </c>
      <c r="T446" s="2" t="n">
        <f aca="false">R446*S446</f>
        <v>0</v>
      </c>
      <c r="U446" s="4" t="s">
        <v>1144</v>
      </c>
      <c r="V446" s="4" t="s">
        <v>764</v>
      </c>
      <c r="W446" s="0" t="n">
        <v>28</v>
      </c>
      <c r="X446" s="4" t="s">
        <v>257</v>
      </c>
    </row>
    <row r="447" customFormat="false" ht="15" hidden="false" customHeight="false" outlineLevel="0" collapsed="false">
      <c r="A447" s="0" t="s">
        <v>1445</v>
      </c>
      <c r="B447" s="0" t="s">
        <v>1175</v>
      </c>
      <c r="C447" s="0" t="s">
        <v>39</v>
      </c>
      <c r="D447" s="0" t="s">
        <v>64</v>
      </c>
      <c r="E447" s="0" t="s">
        <v>105</v>
      </c>
      <c r="F447" s="0" t="s">
        <v>112</v>
      </c>
      <c r="G447" s="0" t="s">
        <v>1446</v>
      </c>
      <c r="H447" s="0" t="s">
        <v>67</v>
      </c>
      <c r="I447" s="0" t="s">
        <v>293</v>
      </c>
      <c r="J447" s="0" t="s">
        <v>33</v>
      </c>
      <c r="K447" s="0" t="n">
        <v>2</v>
      </c>
      <c r="L447" s="0" t="n">
        <v>2</v>
      </c>
      <c r="M447" s="0" t="n">
        <v>1</v>
      </c>
      <c r="N447" s="0" t="n">
        <v>3</v>
      </c>
      <c r="O447" s="0" t="n">
        <f aca="false">SUM(K447:N447)</f>
        <v>8</v>
      </c>
      <c r="P447" s="0" t="str">
        <f aca="false">IF(O447&gt;=15,"Yes","No")</f>
        <v>No</v>
      </c>
      <c r="Q447" s="0" t="s">
        <v>159</v>
      </c>
      <c r="R447" s="2" t="n">
        <v>2922000</v>
      </c>
      <c r="S447" s="3" t="n">
        <v>0.05</v>
      </c>
      <c r="T447" s="2" t="n">
        <f aca="false">R447*S447</f>
        <v>146100</v>
      </c>
      <c r="U447" s="4" t="s">
        <v>95</v>
      </c>
    </row>
    <row r="448" customFormat="false" ht="15" hidden="false" customHeight="false" outlineLevel="0" collapsed="false">
      <c r="A448" s="0" t="s">
        <v>1447</v>
      </c>
      <c r="B448" s="0" t="s">
        <v>551</v>
      </c>
      <c r="C448" s="0" t="s">
        <v>129</v>
      </c>
      <c r="D448" s="0" t="s">
        <v>53</v>
      </c>
      <c r="E448" s="0" t="s">
        <v>40</v>
      </c>
      <c r="F448" s="0" t="s">
        <v>153</v>
      </c>
      <c r="G448" s="0" t="s">
        <v>369</v>
      </c>
      <c r="H448" s="0" t="s">
        <v>31</v>
      </c>
      <c r="I448" s="0" t="s">
        <v>719</v>
      </c>
      <c r="J448" s="0" t="s">
        <v>33</v>
      </c>
      <c r="K448" s="0" t="n">
        <v>4</v>
      </c>
      <c r="L448" s="0" t="n">
        <v>3</v>
      </c>
      <c r="M448" s="0" t="n">
        <v>2</v>
      </c>
      <c r="N448" s="0" t="n">
        <v>4</v>
      </c>
      <c r="O448" s="0" t="n">
        <f aca="false">SUM(K448:N448)</f>
        <v>13</v>
      </c>
      <c r="P448" s="0" t="str">
        <f aca="false">IF(O448&gt;=15,"Yes","No")</f>
        <v>No</v>
      </c>
      <c r="Q448" s="0" t="s">
        <v>60</v>
      </c>
      <c r="R448" s="2" t="n">
        <v>858000</v>
      </c>
      <c r="S448" s="3" t="n">
        <v>0.15</v>
      </c>
      <c r="T448" s="2" t="n">
        <f aca="false">R448*S448</f>
        <v>128700</v>
      </c>
      <c r="U448" s="4" t="s">
        <v>1448</v>
      </c>
    </row>
    <row r="449" customFormat="false" ht="15" hidden="false" customHeight="false" outlineLevel="0" collapsed="false">
      <c r="A449" s="0" t="s">
        <v>1449</v>
      </c>
      <c r="B449" s="0" t="s">
        <v>1450</v>
      </c>
      <c r="C449" s="0" t="s">
        <v>74</v>
      </c>
      <c r="D449" s="0" t="s">
        <v>53</v>
      </c>
      <c r="E449" s="0" t="s">
        <v>195</v>
      </c>
      <c r="F449" s="0" t="s">
        <v>153</v>
      </c>
      <c r="G449" s="0" t="s">
        <v>946</v>
      </c>
      <c r="H449" s="0" t="s">
        <v>67</v>
      </c>
      <c r="I449" s="0" t="s">
        <v>529</v>
      </c>
      <c r="J449" s="0" t="s">
        <v>78</v>
      </c>
      <c r="K449" s="0" t="n">
        <v>2</v>
      </c>
      <c r="L449" s="0" t="n">
        <v>3</v>
      </c>
      <c r="M449" s="0" t="n">
        <v>3</v>
      </c>
      <c r="N449" s="0" t="n">
        <v>4</v>
      </c>
      <c r="O449" s="0" t="n">
        <f aca="false">SUM(K449:N449)</f>
        <v>12</v>
      </c>
      <c r="P449" s="0" t="str">
        <f aca="false">IF(O449&gt;=15,"Yes","No")</f>
        <v>No</v>
      </c>
      <c r="Q449" s="0" t="s">
        <v>60</v>
      </c>
      <c r="R449" s="2" t="n">
        <v>729000</v>
      </c>
      <c r="S449" s="3" t="n">
        <v>0.15</v>
      </c>
      <c r="T449" s="2" t="n">
        <f aca="false">R449*S449</f>
        <v>109350</v>
      </c>
      <c r="U449" s="4" t="s">
        <v>1099</v>
      </c>
    </row>
    <row r="450" customFormat="false" ht="15" hidden="false" customHeight="false" outlineLevel="0" collapsed="false">
      <c r="A450" s="0" t="s">
        <v>1451</v>
      </c>
      <c r="B450" s="0" t="s">
        <v>793</v>
      </c>
      <c r="C450" s="0" t="s">
        <v>152</v>
      </c>
      <c r="D450" s="0" t="s">
        <v>53</v>
      </c>
      <c r="E450" s="0" t="s">
        <v>136</v>
      </c>
      <c r="F450" s="0" t="s">
        <v>112</v>
      </c>
      <c r="G450" s="0" t="s">
        <v>1452</v>
      </c>
      <c r="H450" s="0" t="s">
        <v>86</v>
      </c>
      <c r="I450" s="0" t="s">
        <v>1453</v>
      </c>
      <c r="J450" s="0" t="s">
        <v>59</v>
      </c>
      <c r="K450" s="0" t="n">
        <v>3</v>
      </c>
      <c r="L450" s="0" t="n">
        <v>2</v>
      </c>
      <c r="M450" s="0" t="n">
        <v>2</v>
      </c>
      <c r="N450" s="0" t="n">
        <v>2</v>
      </c>
      <c r="O450" s="0" t="n">
        <f aca="false">SUM(K450:N450)</f>
        <v>9</v>
      </c>
      <c r="P450" s="0" t="str">
        <f aca="false">IF(O450&gt;=15,"Yes","No")</f>
        <v>No</v>
      </c>
      <c r="Q450" s="0" t="s">
        <v>70</v>
      </c>
      <c r="R450" s="2" t="n">
        <v>813000</v>
      </c>
      <c r="S450" s="3" t="n">
        <v>0.55</v>
      </c>
      <c r="T450" s="2" t="n">
        <f aca="false">R450*S450</f>
        <v>447150</v>
      </c>
      <c r="U450" s="4" t="s">
        <v>1149</v>
      </c>
    </row>
    <row r="451" customFormat="false" ht="15" hidden="false" customHeight="false" outlineLevel="0" collapsed="false">
      <c r="A451" s="0" t="s">
        <v>1454</v>
      </c>
      <c r="B451" s="0" t="s">
        <v>677</v>
      </c>
      <c r="C451" s="0" t="s">
        <v>129</v>
      </c>
      <c r="D451" s="0" t="s">
        <v>64</v>
      </c>
      <c r="E451" s="0" t="s">
        <v>215</v>
      </c>
      <c r="F451" s="0" t="s">
        <v>55</v>
      </c>
      <c r="G451" s="0" t="s">
        <v>242</v>
      </c>
      <c r="H451" s="0" t="s">
        <v>57</v>
      </c>
      <c r="I451" s="0" t="s">
        <v>596</v>
      </c>
      <c r="J451" s="0" t="s">
        <v>59</v>
      </c>
      <c r="K451" s="0" t="n">
        <v>2</v>
      </c>
      <c r="L451" s="0" t="n">
        <v>1</v>
      </c>
      <c r="M451" s="0" t="n">
        <v>1</v>
      </c>
      <c r="N451" s="0" t="n">
        <v>2</v>
      </c>
      <c r="O451" s="0" t="n">
        <f aca="false">SUM(K451:N451)</f>
        <v>6</v>
      </c>
      <c r="P451" s="0" t="str">
        <f aca="false">IF(O451&gt;=15,"Yes","No")</f>
        <v>No</v>
      </c>
      <c r="Q451" s="0" t="s">
        <v>159</v>
      </c>
      <c r="R451" s="2" t="n">
        <v>2270000</v>
      </c>
      <c r="S451" s="3" t="n">
        <v>0.05</v>
      </c>
      <c r="T451" s="2" t="n">
        <f aca="false">R451*S451</f>
        <v>113500</v>
      </c>
      <c r="U451" s="4" t="s">
        <v>748</v>
      </c>
    </row>
    <row r="452" customFormat="false" ht="15" hidden="false" customHeight="false" outlineLevel="0" collapsed="false">
      <c r="A452" s="0" t="s">
        <v>1455</v>
      </c>
      <c r="B452" s="0" t="s">
        <v>598</v>
      </c>
      <c r="C452" s="0" t="s">
        <v>26</v>
      </c>
      <c r="D452" s="0" t="s">
        <v>53</v>
      </c>
      <c r="E452" s="0" t="s">
        <v>99</v>
      </c>
      <c r="F452" s="0" t="s">
        <v>130</v>
      </c>
      <c r="G452" s="0" t="s">
        <v>358</v>
      </c>
      <c r="H452" s="0" t="s">
        <v>248</v>
      </c>
      <c r="I452" s="0" t="s">
        <v>442</v>
      </c>
      <c r="J452" s="0" t="s">
        <v>45</v>
      </c>
      <c r="K452" s="0" t="n">
        <v>2</v>
      </c>
      <c r="L452" s="0" t="n">
        <v>4</v>
      </c>
      <c r="M452" s="0" t="n">
        <v>2</v>
      </c>
      <c r="N452" s="0" t="n">
        <v>1</v>
      </c>
      <c r="O452" s="0" t="n">
        <f aca="false">SUM(K452:N452)</f>
        <v>9</v>
      </c>
      <c r="P452" s="0" t="str">
        <f aca="false">IF(O452&gt;=15,"Yes","No")</f>
        <v>No</v>
      </c>
      <c r="Q452" s="0" t="s">
        <v>159</v>
      </c>
      <c r="R452" s="2" t="n">
        <v>726000</v>
      </c>
      <c r="S452" s="3" t="n">
        <v>0.05</v>
      </c>
      <c r="T452" s="2" t="n">
        <f aca="false">R452*S452</f>
        <v>36300</v>
      </c>
      <c r="U452" s="4" t="s">
        <v>988</v>
      </c>
    </row>
    <row r="453" customFormat="false" ht="15" hidden="false" customHeight="false" outlineLevel="0" collapsed="false">
      <c r="A453" s="0" t="s">
        <v>1456</v>
      </c>
      <c r="B453" s="0" t="s">
        <v>1109</v>
      </c>
      <c r="C453" s="0" t="s">
        <v>184</v>
      </c>
      <c r="D453" s="0" t="s">
        <v>53</v>
      </c>
      <c r="E453" s="0" t="s">
        <v>105</v>
      </c>
      <c r="F453" s="0" t="s">
        <v>112</v>
      </c>
      <c r="G453" s="0" t="s">
        <v>449</v>
      </c>
      <c r="H453" s="0" t="s">
        <v>67</v>
      </c>
      <c r="I453" s="0" t="s">
        <v>243</v>
      </c>
      <c r="J453" s="0" t="s">
        <v>59</v>
      </c>
      <c r="K453" s="0" t="n">
        <v>4</v>
      </c>
      <c r="L453" s="0" t="n">
        <v>3</v>
      </c>
      <c r="M453" s="0" t="n">
        <v>2</v>
      </c>
      <c r="N453" s="0" t="n">
        <v>2</v>
      </c>
      <c r="O453" s="0" t="n">
        <f aca="false">SUM(K453:N453)</f>
        <v>11</v>
      </c>
      <c r="P453" s="0" t="str">
        <f aca="false">IF(O453&gt;=15,"Yes","No")</f>
        <v>No</v>
      </c>
      <c r="Q453" s="0" t="s">
        <v>159</v>
      </c>
      <c r="R453" s="2" t="n">
        <v>621000</v>
      </c>
      <c r="S453" s="3" t="n">
        <v>0.05</v>
      </c>
      <c r="T453" s="2" t="n">
        <f aca="false">R453*S453</f>
        <v>31050</v>
      </c>
      <c r="U453" s="4" t="s">
        <v>489</v>
      </c>
    </row>
    <row r="454" customFormat="false" ht="15" hidden="false" customHeight="false" outlineLevel="0" collapsed="false">
      <c r="A454" s="0" t="s">
        <v>1457</v>
      </c>
      <c r="B454" s="0" t="s">
        <v>798</v>
      </c>
      <c r="C454" s="0" t="s">
        <v>26</v>
      </c>
      <c r="D454" s="0" t="s">
        <v>64</v>
      </c>
      <c r="E454" s="0" t="s">
        <v>105</v>
      </c>
      <c r="F454" s="0" t="s">
        <v>112</v>
      </c>
      <c r="G454" s="0" t="s">
        <v>1458</v>
      </c>
      <c r="H454" s="0" t="s">
        <v>31</v>
      </c>
      <c r="I454" s="0" t="s">
        <v>1322</v>
      </c>
      <c r="J454" s="0" t="s">
        <v>69</v>
      </c>
      <c r="K454" s="0" t="n">
        <v>5</v>
      </c>
      <c r="L454" s="0" t="n">
        <v>3</v>
      </c>
      <c r="M454" s="0" t="n">
        <v>4</v>
      </c>
      <c r="N454" s="0" t="n">
        <v>4</v>
      </c>
      <c r="O454" s="0" t="n">
        <f aca="false">SUM(K454:N454)</f>
        <v>16</v>
      </c>
      <c r="P454" s="0" t="str">
        <f aca="false">IF(O454&gt;=15,"Yes","No")</f>
        <v>Yes</v>
      </c>
      <c r="Q454" s="0" t="s">
        <v>60</v>
      </c>
      <c r="R454" s="2" t="n">
        <v>2465000</v>
      </c>
      <c r="S454" s="3" t="n">
        <v>0.15</v>
      </c>
      <c r="T454" s="2" t="n">
        <f aca="false">R454*S454</f>
        <v>369750</v>
      </c>
      <c r="U454" s="4" t="s">
        <v>339</v>
      </c>
    </row>
    <row r="455" customFormat="false" ht="15" hidden="false" customHeight="false" outlineLevel="0" collapsed="false">
      <c r="A455" s="0" t="s">
        <v>1459</v>
      </c>
      <c r="B455" s="0" t="s">
        <v>655</v>
      </c>
      <c r="C455" s="0" t="s">
        <v>74</v>
      </c>
      <c r="D455" s="0" t="s">
        <v>53</v>
      </c>
      <c r="E455" s="0" t="s">
        <v>178</v>
      </c>
      <c r="F455" s="0" t="s">
        <v>153</v>
      </c>
      <c r="G455" s="0" t="s">
        <v>526</v>
      </c>
      <c r="H455" s="0" t="s">
        <v>86</v>
      </c>
      <c r="I455" s="0" t="s">
        <v>1460</v>
      </c>
      <c r="J455" s="0" t="s">
        <v>33</v>
      </c>
      <c r="K455" s="0" t="n">
        <v>2</v>
      </c>
      <c r="L455" s="0" t="n">
        <v>2</v>
      </c>
      <c r="M455" s="0" t="n">
        <v>3</v>
      </c>
      <c r="N455" s="0" t="n">
        <v>1</v>
      </c>
      <c r="O455" s="0" t="n">
        <f aca="false">SUM(K455:N455)</f>
        <v>8</v>
      </c>
      <c r="P455" s="0" t="str">
        <f aca="false">IF(O455&gt;=15,"Yes","No")</f>
        <v>No</v>
      </c>
      <c r="Q455" s="0" t="s">
        <v>46</v>
      </c>
      <c r="R455" s="2" t="n">
        <v>630000</v>
      </c>
      <c r="S455" s="3" t="n">
        <v>0</v>
      </c>
      <c r="T455" s="2" t="n">
        <f aca="false">R455*S455</f>
        <v>0</v>
      </c>
      <c r="U455" s="4" t="s">
        <v>1056</v>
      </c>
      <c r="V455" s="4" t="s">
        <v>1222</v>
      </c>
      <c r="W455" s="0" t="n">
        <v>32</v>
      </c>
      <c r="X455" s="4" t="s">
        <v>49</v>
      </c>
    </row>
    <row r="456" customFormat="false" ht="15" hidden="false" customHeight="false" outlineLevel="0" collapsed="false">
      <c r="A456" s="0" t="s">
        <v>1461</v>
      </c>
      <c r="B456" s="0" t="s">
        <v>135</v>
      </c>
      <c r="C456" s="0" t="s">
        <v>74</v>
      </c>
      <c r="D456" s="0" t="s">
        <v>53</v>
      </c>
      <c r="E456" s="0" t="s">
        <v>84</v>
      </c>
      <c r="F456" s="0" t="s">
        <v>112</v>
      </c>
      <c r="G456" s="0" t="s">
        <v>479</v>
      </c>
      <c r="H456" s="0" t="s">
        <v>248</v>
      </c>
      <c r="I456" s="0" t="s">
        <v>243</v>
      </c>
      <c r="J456" s="0" t="s">
        <v>45</v>
      </c>
      <c r="K456" s="0" t="n">
        <v>3</v>
      </c>
      <c r="L456" s="0" t="n">
        <v>4</v>
      </c>
      <c r="M456" s="0" t="n">
        <v>2</v>
      </c>
      <c r="N456" s="0" t="n">
        <v>1</v>
      </c>
      <c r="O456" s="0" t="n">
        <f aca="false">SUM(K456:N456)</f>
        <v>10</v>
      </c>
      <c r="P456" s="0" t="str">
        <f aca="false">IF(O456&gt;=15,"Yes","No")</f>
        <v>No</v>
      </c>
      <c r="Q456" s="0" t="s">
        <v>60</v>
      </c>
      <c r="R456" s="2" t="n">
        <v>870000</v>
      </c>
      <c r="S456" s="3" t="n">
        <v>0.15</v>
      </c>
      <c r="T456" s="2" t="n">
        <f aca="false">R456*S456</f>
        <v>130500</v>
      </c>
      <c r="U456" s="4" t="s">
        <v>1462</v>
      </c>
    </row>
    <row r="457" customFormat="false" ht="15" hidden="false" customHeight="false" outlineLevel="0" collapsed="false">
      <c r="A457" s="0" t="s">
        <v>1463</v>
      </c>
      <c r="B457" s="0" t="s">
        <v>194</v>
      </c>
      <c r="C457" s="0" t="s">
        <v>52</v>
      </c>
      <c r="D457" s="0" t="s">
        <v>27</v>
      </c>
      <c r="E457" s="0" t="s">
        <v>84</v>
      </c>
      <c r="F457" s="0" t="s">
        <v>41</v>
      </c>
      <c r="G457" s="0" t="s">
        <v>1464</v>
      </c>
      <c r="H457" s="0" t="s">
        <v>86</v>
      </c>
      <c r="I457" s="0" t="s">
        <v>782</v>
      </c>
      <c r="J457" s="0" t="s">
        <v>59</v>
      </c>
      <c r="K457" s="0" t="n">
        <v>1</v>
      </c>
      <c r="L457" s="0" t="n">
        <v>1</v>
      </c>
      <c r="M457" s="0" t="n">
        <v>1</v>
      </c>
      <c r="N457" s="0" t="n">
        <v>1</v>
      </c>
      <c r="O457" s="0" t="n">
        <f aca="false">SUM(K457:N457)</f>
        <v>4</v>
      </c>
      <c r="P457" s="0" t="str">
        <f aca="false">IF(O457&gt;=15,"Yes","No")</f>
        <v>No</v>
      </c>
      <c r="Q457" s="0" t="s">
        <v>115</v>
      </c>
      <c r="R457" s="2" t="n">
        <v>226000</v>
      </c>
      <c r="S457" s="3" t="n">
        <v>0.35</v>
      </c>
      <c r="T457" s="2" t="n">
        <f aca="false">R457*S457</f>
        <v>79100</v>
      </c>
      <c r="U457" s="4" t="s">
        <v>1309</v>
      </c>
    </row>
    <row r="458" customFormat="false" ht="15" hidden="false" customHeight="false" outlineLevel="0" collapsed="false">
      <c r="A458" s="0" t="s">
        <v>1465</v>
      </c>
      <c r="B458" s="0" t="s">
        <v>1160</v>
      </c>
      <c r="C458" s="0" t="s">
        <v>74</v>
      </c>
      <c r="D458" s="0" t="s">
        <v>53</v>
      </c>
      <c r="E458" s="0" t="s">
        <v>40</v>
      </c>
      <c r="F458" s="0" t="s">
        <v>75</v>
      </c>
      <c r="G458" s="0" t="s">
        <v>1184</v>
      </c>
      <c r="H458" s="0" t="s">
        <v>86</v>
      </c>
      <c r="I458" s="0" t="s">
        <v>985</v>
      </c>
      <c r="J458" s="0" t="s">
        <v>78</v>
      </c>
      <c r="K458" s="0" t="n">
        <v>3</v>
      </c>
      <c r="L458" s="0" t="n">
        <v>2</v>
      </c>
      <c r="M458" s="0" t="n">
        <v>1</v>
      </c>
      <c r="N458" s="0" t="n">
        <v>1</v>
      </c>
      <c r="O458" s="0" t="n">
        <f aca="false">SUM(K458:N458)</f>
        <v>7</v>
      </c>
      <c r="P458" s="0" t="str">
        <f aca="false">IF(O458&gt;=15,"Yes","No")</f>
        <v>No</v>
      </c>
      <c r="Q458" s="0" t="s">
        <v>60</v>
      </c>
      <c r="R458" s="2" t="n">
        <v>857000</v>
      </c>
      <c r="S458" s="3" t="n">
        <v>0.15</v>
      </c>
      <c r="T458" s="2" t="n">
        <f aca="false">R458*S458</f>
        <v>128550</v>
      </c>
      <c r="U458" s="4" t="s">
        <v>1099</v>
      </c>
    </row>
    <row r="459" customFormat="false" ht="15" hidden="false" customHeight="false" outlineLevel="0" collapsed="false">
      <c r="A459" s="0" t="s">
        <v>1466</v>
      </c>
      <c r="B459" s="0" t="s">
        <v>453</v>
      </c>
      <c r="C459" s="0" t="s">
        <v>52</v>
      </c>
      <c r="D459" s="0" t="s">
        <v>27</v>
      </c>
      <c r="E459" s="0" t="s">
        <v>142</v>
      </c>
      <c r="F459" s="0" t="s">
        <v>130</v>
      </c>
      <c r="G459" s="0" t="s">
        <v>1097</v>
      </c>
      <c r="H459" s="0" t="s">
        <v>86</v>
      </c>
      <c r="I459" s="0" t="s">
        <v>1116</v>
      </c>
      <c r="J459" s="0" t="s">
        <v>69</v>
      </c>
      <c r="K459" s="0" t="n">
        <v>1</v>
      </c>
      <c r="L459" s="0" t="n">
        <v>1</v>
      </c>
      <c r="M459" s="0" t="n">
        <v>1</v>
      </c>
      <c r="N459" s="0" t="n">
        <v>1</v>
      </c>
      <c r="O459" s="0" t="n">
        <f aca="false">SUM(K459:N459)</f>
        <v>4</v>
      </c>
      <c r="P459" s="0" t="str">
        <f aca="false">IF(O459&gt;=15,"Yes","No")</f>
        <v>No</v>
      </c>
      <c r="Q459" s="0" t="s">
        <v>60</v>
      </c>
      <c r="R459" s="2" t="n">
        <v>154000</v>
      </c>
      <c r="S459" s="3" t="n">
        <v>0.15</v>
      </c>
      <c r="T459" s="2" t="n">
        <f aca="false">R459*S459</f>
        <v>23100</v>
      </c>
      <c r="U459" s="4" t="s">
        <v>1357</v>
      </c>
    </row>
    <row r="460" customFormat="false" ht="15" hidden="false" customHeight="false" outlineLevel="0" collapsed="false">
      <c r="A460" s="0" t="s">
        <v>1467</v>
      </c>
      <c r="B460" s="0" t="s">
        <v>1468</v>
      </c>
      <c r="C460" s="0" t="s">
        <v>39</v>
      </c>
      <c r="D460" s="0" t="s">
        <v>27</v>
      </c>
      <c r="E460" s="0" t="s">
        <v>111</v>
      </c>
      <c r="F460" s="0" t="s">
        <v>55</v>
      </c>
      <c r="G460" s="0" t="s">
        <v>1338</v>
      </c>
      <c r="H460" s="0" t="s">
        <v>86</v>
      </c>
      <c r="I460" s="0" t="s">
        <v>1112</v>
      </c>
      <c r="J460" s="0" t="s">
        <v>69</v>
      </c>
      <c r="K460" s="0" t="n">
        <v>1</v>
      </c>
      <c r="L460" s="0" t="n">
        <v>1</v>
      </c>
      <c r="M460" s="0" t="n">
        <v>4</v>
      </c>
      <c r="N460" s="0" t="n">
        <v>2</v>
      </c>
      <c r="O460" s="0" t="n">
        <f aca="false">SUM(K460:N460)</f>
        <v>8</v>
      </c>
      <c r="P460" s="0" t="str">
        <f aca="false">IF(O460&gt;=15,"Yes","No")</f>
        <v>No</v>
      </c>
      <c r="Q460" s="0" t="s">
        <v>46</v>
      </c>
      <c r="R460" s="2" t="n">
        <v>195000</v>
      </c>
      <c r="S460" s="3" t="n">
        <v>0</v>
      </c>
      <c r="T460" s="2" t="n">
        <f aca="false">R460*S460</f>
        <v>0</v>
      </c>
      <c r="U460" s="4" t="s">
        <v>256</v>
      </c>
      <c r="V460" s="4" t="s">
        <v>352</v>
      </c>
      <c r="W460" s="0" t="n">
        <v>26</v>
      </c>
      <c r="X460" s="4" t="s">
        <v>326</v>
      </c>
    </row>
    <row r="461" customFormat="false" ht="15" hidden="false" customHeight="false" outlineLevel="0" collapsed="false">
      <c r="A461" s="0" t="s">
        <v>1469</v>
      </c>
      <c r="B461" s="0" t="s">
        <v>1417</v>
      </c>
      <c r="C461" s="0" t="s">
        <v>26</v>
      </c>
      <c r="D461" s="0" t="s">
        <v>64</v>
      </c>
      <c r="E461" s="0" t="s">
        <v>84</v>
      </c>
      <c r="F461" s="0" t="s">
        <v>41</v>
      </c>
      <c r="G461" s="0" t="s">
        <v>1279</v>
      </c>
      <c r="H461" s="0" t="s">
        <v>86</v>
      </c>
      <c r="I461" s="0" t="s">
        <v>690</v>
      </c>
      <c r="J461" s="0" t="s">
        <v>59</v>
      </c>
      <c r="K461" s="0" t="n">
        <v>2</v>
      </c>
      <c r="L461" s="0" t="n">
        <v>1</v>
      </c>
      <c r="M461" s="0" t="n">
        <v>1</v>
      </c>
      <c r="N461" s="0" t="n">
        <v>2</v>
      </c>
      <c r="O461" s="0" t="n">
        <f aca="false">SUM(K461:N461)</f>
        <v>6</v>
      </c>
      <c r="P461" s="0" t="str">
        <f aca="false">IF(O461&gt;=15,"Yes","No")</f>
        <v>No</v>
      </c>
      <c r="Q461" s="0" t="s">
        <v>159</v>
      </c>
      <c r="R461" s="2" t="n">
        <v>2343000</v>
      </c>
      <c r="S461" s="3" t="n">
        <v>0.05</v>
      </c>
      <c r="T461" s="2" t="n">
        <f aca="false">R461*S461</f>
        <v>117150</v>
      </c>
      <c r="U461" s="4" t="s">
        <v>1348</v>
      </c>
    </row>
    <row r="462" customFormat="false" ht="15" hidden="false" customHeight="false" outlineLevel="0" collapsed="false">
      <c r="A462" s="0" t="s">
        <v>1470</v>
      </c>
      <c r="B462" s="0" t="s">
        <v>428</v>
      </c>
      <c r="C462" s="0" t="s">
        <v>264</v>
      </c>
      <c r="D462" s="0" t="s">
        <v>53</v>
      </c>
      <c r="E462" s="0" t="s">
        <v>54</v>
      </c>
      <c r="F462" s="0" t="s">
        <v>153</v>
      </c>
      <c r="G462" s="0" t="s">
        <v>1471</v>
      </c>
      <c r="H462" s="0" t="s">
        <v>31</v>
      </c>
      <c r="I462" s="0" t="s">
        <v>471</v>
      </c>
      <c r="J462" s="0" t="s">
        <v>33</v>
      </c>
      <c r="K462" s="0" t="n">
        <v>2</v>
      </c>
      <c r="L462" s="0" t="n">
        <v>3</v>
      </c>
      <c r="M462" s="0" t="n">
        <v>3</v>
      </c>
      <c r="N462" s="0" t="n">
        <v>2</v>
      </c>
      <c r="O462" s="0" t="n">
        <f aca="false">SUM(K462:N462)</f>
        <v>10</v>
      </c>
      <c r="P462" s="0" t="str">
        <f aca="false">IF(O462&gt;=15,"Yes","No")</f>
        <v>No</v>
      </c>
      <c r="Q462" s="0" t="s">
        <v>60</v>
      </c>
      <c r="R462" s="2" t="n">
        <v>698000</v>
      </c>
      <c r="S462" s="3" t="n">
        <v>0.15</v>
      </c>
      <c r="T462" s="2" t="n">
        <f aca="false">R462*S462</f>
        <v>104700</v>
      </c>
      <c r="U462" s="4" t="s">
        <v>1472</v>
      </c>
    </row>
    <row r="463" customFormat="false" ht="15" hidden="false" customHeight="false" outlineLevel="0" collapsed="false">
      <c r="A463" s="0" t="s">
        <v>1473</v>
      </c>
      <c r="B463" s="0" t="s">
        <v>361</v>
      </c>
      <c r="C463" s="0" t="s">
        <v>26</v>
      </c>
      <c r="D463" s="0" t="s">
        <v>27</v>
      </c>
      <c r="E463" s="0" t="s">
        <v>54</v>
      </c>
      <c r="F463" s="0" t="s">
        <v>179</v>
      </c>
      <c r="G463" s="0" t="s">
        <v>423</v>
      </c>
      <c r="H463" s="0" t="s">
        <v>86</v>
      </c>
      <c r="I463" s="0" t="s">
        <v>1418</v>
      </c>
      <c r="J463" s="0" t="s">
        <v>69</v>
      </c>
      <c r="K463" s="0" t="n">
        <v>1</v>
      </c>
      <c r="L463" s="0" t="n">
        <v>1</v>
      </c>
      <c r="M463" s="0" t="n">
        <v>3</v>
      </c>
      <c r="N463" s="0" t="n">
        <v>1</v>
      </c>
      <c r="O463" s="0" t="n">
        <f aca="false">SUM(K463:N463)</f>
        <v>6</v>
      </c>
      <c r="P463" s="0" t="str">
        <f aca="false">IF(O463&gt;=15,"Yes","No")</f>
        <v>No</v>
      </c>
      <c r="Q463" s="0" t="s">
        <v>159</v>
      </c>
      <c r="R463" s="2" t="n">
        <v>243000</v>
      </c>
      <c r="S463" s="3" t="n">
        <v>0.05</v>
      </c>
      <c r="T463" s="2" t="n">
        <f aca="false">R463*S463</f>
        <v>12150</v>
      </c>
      <c r="U463" s="4" t="s">
        <v>324</v>
      </c>
    </row>
    <row r="464" customFormat="false" ht="15" hidden="false" customHeight="false" outlineLevel="0" collapsed="false">
      <c r="A464" s="0" t="s">
        <v>1474</v>
      </c>
      <c r="B464" s="0" t="s">
        <v>1475</v>
      </c>
      <c r="C464" s="0" t="s">
        <v>264</v>
      </c>
      <c r="D464" s="0" t="s">
        <v>27</v>
      </c>
      <c r="E464" s="0" t="s">
        <v>195</v>
      </c>
      <c r="F464" s="0" t="s">
        <v>130</v>
      </c>
      <c r="G464" s="0" t="s">
        <v>1237</v>
      </c>
      <c r="H464" s="0" t="s">
        <v>86</v>
      </c>
      <c r="I464" s="0" t="s">
        <v>460</v>
      </c>
      <c r="J464" s="0" t="s">
        <v>78</v>
      </c>
      <c r="K464" s="0" t="n">
        <v>1</v>
      </c>
      <c r="L464" s="0" t="n">
        <v>2</v>
      </c>
      <c r="M464" s="0" t="n">
        <v>2</v>
      </c>
      <c r="N464" s="0" t="n">
        <v>3</v>
      </c>
      <c r="O464" s="0" t="n">
        <f aca="false">SUM(K464:N464)</f>
        <v>8</v>
      </c>
      <c r="P464" s="0" t="str">
        <f aca="false">IF(O464&gt;=15,"Yes","No")</f>
        <v>No</v>
      </c>
      <c r="Q464" s="0" t="s">
        <v>159</v>
      </c>
      <c r="R464" s="2" t="n">
        <v>147000</v>
      </c>
      <c r="S464" s="3" t="n">
        <v>0.05</v>
      </c>
      <c r="T464" s="2" t="n">
        <f aca="false">R464*S464</f>
        <v>7350</v>
      </c>
      <c r="U464" s="4" t="s">
        <v>1153</v>
      </c>
    </row>
    <row r="465" customFormat="false" ht="15" hidden="false" customHeight="false" outlineLevel="0" collapsed="false">
      <c r="A465" s="0" t="s">
        <v>1476</v>
      </c>
      <c r="B465" s="0" t="s">
        <v>968</v>
      </c>
      <c r="C465" s="0" t="s">
        <v>26</v>
      </c>
      <c r="D465" s="0" t="s">
        <v>53</v>
      </c>
      <c r="E465" s="0" t="s">
        <v>178</v>
      </c>
      <c r="F465" s="0" t="s">
        <v>41</v>
      </c>
      <c r="G465" s="0" t="s">
        <v>301</v>
      </c>
      <c r="H465" s="0" t="s">
        <v>86</v>
      </c>
      <c r="I465" s="0" t="s">
        <v>384</v>
      </c>
      <c r="J465" s="0" t="s">
        <v>59</v>
      </c>
      <c r="K465" s="0" t="n">
        <v>2</v>
      </c>
      <c r="L465" s="0" t="n">
        <v>1</v>
      </c>
      <c r="M465" s="0" t="n">
        <v>3</v>
      </c>
      <c r="N465" s="0" t="n">
        <v>3</v>
      </c>
      <c r="O465" s="0" t="n">
        <f aca="false">SUM(K465:N465)</f>
        <v>9</v>
      </c>
      <c r="P465" s="0" t="str">
        <f aca="false">IF(O465&gt;=15,"Yes","No")</f>
        <v>No</v>
      </c>
      <c r="Q465" s="0" t="s">
        <v>115</v>
      </c>
      <c r="R465" s="2" t="n">
        <v>692000</v>
      </c>
      <c r="S465" s="3" t="n">
        <v>0.35</v>
      </c>
      <c r="T465" s="2" t="n">
        <f aca="false">R465*S465</f>
        <v>242200</v>
      </c>
      <c r="U465" s="4" t="s">
        <v>816</v>
      </c>
    </row>
    <row r="466" customFormat="false" ht="15" hidden="false" customHeight="false" outlineLevel="0" collapsed="false">
      <c r="A466" s="0" t="s">
        <v>1477</v>
      </c>
      <c r="B466" s="0" t="s">
        <v>141</v>
      </c>
      <c r="C466" s="0" t="s">
        <v>152</v>
      </c>
      <c r="D466" s="0" t="s">
        <v>53</v>
      </c>
      <c r="E466" s="0" t="s">
        <v>105</v>
      </c>
      <c r="F466" s="0" t="s">
        <v>112</v>
      </c>
      <c r="G466" s="0" t="s">
        <v>533</v>
      </c>
      <c r="H466" s="0" t="s">
        <v>86</v>
      </c>
      <c r="I466" s="0" t="s">
        <v>275</v>
      </c>
      <c r="J466" s="0" t="s">
        <v>78</v>
      </c>
      <c r="K466" s="0" t="n">
        <v>3</v>
      </c>
      <c r="L466" s="0" t="n">
        <v>3</v>
      </c>
      <c r="M466" s="0" t="n">
        <v>1</v>
      </c>
      <c r="N466" s="0" t="n">
        <v>2</v>
      </c>
      <c r="O466" s="0" t="n">
        <f aca="false">SUM(K466:N466)</f>
        <v>9</v>
      </c>
      <c r="P466" s="0" t="str">
        <f aca="false">IF(O466&gt;=15,"Yes","No")</f>
        <v>No</v>
      </c>
      <c r="Q466" s="0" t="s">
        <v>60</v>
      </c>
      <c r="R466" s="2" t="n">
        <v>689000</v>
      </c>
      <c r="S466" s="3" t="n">
        <v>0.15</v>
      </c>
      <c r="T466" s="2" t="n">
        <f aca="false">R466*S466</f>
        <v>103350</v>
      </c>
      <c r="U466" s="4" t="s">
        <v>1412</v>
      </c>
    </row>
    <row r="467" customFormat="false" ht="15" hidden="false" customHeight="false" outlineLevel="0" collapsed="false">
      <c r="A467" s="0" t="s">
        <v>1478</v>
      </c>
      <c r="B467" s="0" t="s">
        <v>1009</v>
      </c>
      <c r="C467" s="0" t="s">
        <v>152</v>
      </c>
      <c r="D467" s="0" t="s">
        <v>53</v>
      </c>
      <c r="E467" s="0" t="s">
        <v>322</v>
      </c>
      <c r="F467" s="0" t="s">
        <v>112</v>
      </c>
      <c r="G467" s="0" t="s">
        <v>1479</v>
      </c>
      <c r="H467" s="0" t="s">
        <v>248</v>
      </c>
      <c r="I467" s="0" t="s">
        <v>1130</v>
      </c>
      <c r="J467" s="0" t="s">
        <v>33</v>
      </c>
      <c r="K467" s="0" t="n">
        <v>3</v>
      </c>
      <c r="L467" s="0" t="n">
        <v>1</v>
      </c>
      <c r="M467" s="0" t="n">
        <v>2</v>
      </c>
      <c r="N467" s="0" t="n">
        <v>3</v>
      </c>
      <c r="O467" s="0" t="n">
        <f aca="false">SUM(K467:N467)</f>
        <v>9</v>
      </c>
      <c r="P467" s="0" t="str">
        <f aca="false">IF(O467&gt;=15,"Yes","No")</f>
        <v>No</v>
      </c>
      <c r="Q467" s="0" t="s">
        <v>159</v>
      </c>
      <c r="R467" s="2" t="n">
        <v>821000</v>
      </c>
      <c r="S467" s="3" t="n">
        <v>0.05</v>
      </c>
      <c r="T467" s="2" t="n">
        <f aca="false">R467*S467</f>
        <v>41050</v>
      </c>
      <c r="U467" s="4" t="s">
        <v>102</v>
      </c>
    </row>
    <row r="468" customFormat="false" ht="15" hidden="false" customHeight="false" outlineLevel="0" collapsed="false">
      <c r="A468" s="0" t="s">
        <v>1480</v>
      </c>
      <c r="B468" s="0" t="s">
        <v>209</v>
      </c>
      <c r="C468" s="0" t="s">
        <v>74</v>
      </c>
      <c r="D468" s="0" t="s">
        <v>27</v>
      </c>
      <c r="E468" s="0" t="s">
        <v>105</v>
      </c>
      <c r="F468" s="0" t="s">
        <v>41</v>
      </c>
      <c r="G468" s="0" t="s">
        <v>210</v>
      </c>
      <c r="H468" s="0" t="s">
        <v>86</v>
      </c>
      <c r="I468" s="0" t="s">
        <v>102</v>
      </c>
      <c r="J468" s="0" t="s">
        <v>69</v>
      </c>
      <c r="K468" s="0" t="n">
        <v>3</v>
      </c>
      <c r="L468" s="0" t="n">
        <v>2</v>
      </c>
      <c r="M468" s="0" t="n">
        <v>3</v>
      </c>
      <c r="N468" s="0" t="n">
        <v>2</v>
      </c>
      <c r="O468" s="0" t="n">
        <f aca="false">SUM(K468:N468)</f>
        <v>10</v>
      </c>
      <c r="P468" s="0" t="str">
        <f aca="false">IF(O468&gt;=15,"Yes","No")</f>
        <v>No</v>
      </c>
      <c r="Q468" s="0" t="s">
        <v>60</v>
      </c>
      <c r="R468" s="2" t="n">
        <v>144000</v>
      </c>
      <c r="S468" s="3" t="n">
        <v>0.15</v>
      </c>
      <c r="T468" s="2" t="n">
        <f aca="false">R468*S468</f>
        <v>21600</v>
      </c>
      <c r="U468" s="4" t="s">
        <v>601</v>
      </c>
    </row>
    <row r="469" customFormat="false" ht="15" hidden="false" customHeight="false" outlineLevel="0" collapsed="false">
      <c r="A469" s="0" t="s">
        <v>1481</v>
      </c>
      <c r="B469" s="0" t="s">
        <v>1401</v>
      </c>
      <c r="C469" s="0" t="s">
        <v>129</v>
      </c>
      <c r="D469" s="0" t="s">
        <v>27</v>
      </c>
      <c r="E469" s="0" t="s">
        <v>99</v>
      </c>
      <c r="F469" s="0" t="s">
        <v>55</v>
      </c>
      <c r="G469" s="0" t="s">
        <v>1482</v>
      </c>
      <c r="H469" s="0" t="s">
        <v>31</v>
      </c>
      <c r="I469" s="0" t="s">
        <v>351</v>
      </c>
      <c r="J469" s="0" t="s">
        <v>69</v>
      </c>
      <c r="K469" s="0" t="n">
        <v>3</v>
      </c>
      <c r="L469" s="0" t="n">
        <v>4</v>
      </c>
      <c r="M469" s="0" t="n">
        <v>4</v>
      </c>
      <c r="N469" s="0" t="n">
        <v>4</v>
      </c>
      <c r="O469" s="0" t="n">
        <f aca="false">SUM(K469:N469)</f>
        <v>15</v>
      </c>
      <c r="P469" s="0" t="str">
        <f aca="false">IF(O469&gt;=15,"Yes","No")</f>
        <v>Yes</v>
      </c>
      <c r="Q469" s="0" t="s">
        <v>159</v>
      </c>
      <c r="R469" s="2" t="n">
        <v>247000</v>
      </c>
      <c r="S469" s="3" t="n">
        <v>0.05</v>
      </c>
      <c r="T469" s="2" t="n">
        <f aca="false">R469*S469</f>
        <v>12350</v>
      </c>
      <c r="U469" s="4" t="s">
        <v>1154</v>
      </c>
    </row>
    <row r="470" customFormat="false" ht="15" hidden="false" customHeight="false" outlineLevel="0" collapsed="false">
      <c r="A470" s="0" t="s">
        <v>1483</v>
      </c>
      <c r="B470" s="0" t="s">
        <v>246</v>
      </c>
      <c r="C470" s="0" t="s">
        <v>74</v>
      </c>
      <c r="D470" s="0" t="s">
        <v>27</v>
      </c>
      <c r="E470" s="0" t="s">
        <v>54</v>
      </c>
      <c r="F470" s="0" t="s">
        <v>130</v>
      </c>
      <c r="G470" s="0" t="s">
        <v>591</v>
      </c>
      <c r="H470" s="0" t="s">
        <v>67</v>
      </c>
      <c r="I470" s="0" t="s">
        <v>329</v>
      </c>
      <c r="J470" s="0" t="s">
        <v>78</v>
      </c>
      <c r="K470" s="0" t="n">
        <v>4</v>
      </c>
      <c r="L470" s="0" t="n">
        <v>5</v>
      </c>
      <c r="M470" s="0" t="n">
        <v>3</v>
      </c>
      <c r="N470" s="0" t="n">
        <v>2</v>
      </c>
      <c r="O470" s="0" t="n">
        <f aca="false">SUM(K470:N470)</f>
        <v>14</v>
      </c>
      <c r="P470" s="0" t="str">
        <f aca="false">IF(O470&gt;=15,"Yes","No")</f>
        <v>No</v>
      </c>
      <c r="Q470" s="0" t="s">
        <v>60</v>
      </c>
      <c r="R470" s="2" t="n">
        <v>223000</v>
      </c>
      <c r="S470" s="3" t="n">
        <v>0.15</v>
      </c>
      <c r="T470" s="2" t="n">
        <f aca="false">R470*S470</f>
        <v>33450</v>
      </c>
      <c r="U470" s="4" t="s">
        <v>1484</v>
      </c>
    </row>
    <row r="471" customFormat="false" ht="15" hidden="false" customHeight="false" outlineLevel="0" collapsed="false">
      <c r="A471" s="0" t="s">
        <v>1485</v>
      </c>
      <c r="B471" s="0" t="s">
        <v>1486</v>
      </c>
      <c r="C471" s="0" t="s">
        <v>74</v>
      </c>
      <c r="D471" s="0" t="s">
        <v>27</v>
      </c>
      <c r="E471" s="0" t="s">
        <v>178</v>
      </c>
      <c r="F471" s="0" t="s">
        <v>41</v>
      </c>
      <c r="G471" s="0" t="s">
        <v>1427</v>
      </c>
      <c r="H471" s="0" t="s">
        <v>248</v>
      </c>
      <c r="I471" s="0" t="s">
        <v>896</v>
      </c>
      <c r="J471" s="0" t="s">
        <v>78</v>
      </c>
      <c r="K471" s="0" t="n">
        <v>4</v>
      </c>
      <c r="L471" s="0" t="n">
        <v>4</v>
      </c>
      <c r="M471" s="0" t="n">
        <v>3</v>
      </c>
      <c r="N471" s="0" t="n">
        <v>4</v>
      </c>
      <c r="O471" s="0" t="n">
        <f aca="false">SUM(K471:N471)</f>
        <v>15</v>
      </c>
      <c r="P471" s="0" t="str">
        <f aca="false">IF(O471&gt;=15,"Yes","No")</f>
        <v>Yes</v>
      </c>
      <c r="Q471" s="0" t="s">
        <v>46</v>
      </c>
      <c r="R471" s="2" t="n">
        <v>210000</v>
      </c>
      <c r="S471" s="3" t="n">
        <v>0</v>
      </c>
      <c r="T471" s="2" t="n">
        <f aca="false">R471*S471</f>
        <v>0</v>
      </c>
      <c r="U471" s="4" t="s">
        <v>1487</v>
      </c>
      <c r="V471" s="4" t="s">
        <v>1488</v>
      </c>
      <c r="W471" s="0" t="n">
        <v>37</v>
      </c>
      <c r="X471" s="4" t="s">
        <v>443</v>
      </c>
    </row>
    <row r="472" customFormat="false" ht="15" hidden="false" customHeight="false" outlineLevel="0" collapsed="false">
      <c r="A472" s="0" t="s">
        <v>1489</v>
      </c>
      <c r="B472" s="0" t="s">
        <v>1128</v>
      </c>
      <c r="C472" s="0" t="s">
        <v>26</v>
      </c>
      <c r="D472" s="0" t="s">
        <v>53</v>
      </c>
      <c r="E472" s="0" t="s">
        <v>322</v>
      </c>
      <c r="F472" s="0" t="s">
        <v>112</v>
      </c>
      <c r="G472" s="0" t="s">
        <v>721</v>
      </c>
      <c r="H472" s="0" t="s">
        <v>248</v>
      </c>
      <c r="I472" s="0" t="s">
        <v>308</v>
      </c>
      <c r="J472" s="0" t="s">
        <v>33</v>
      </c>
      <c r="K472" s="0" t="n">
        <v>1</v>
      </c>
      <c r="L472" s="0" t="n">
        <v>4</v>
      </c>
      <c r="M472" s="0" t="n">
        <v>4</v>
      </c>
      <c r="N472" s="0" t="n">
        <v>3</v>
      </c>
      <c r="O472" s="0" t="n">
        <f aca="false">SUM(K472:N472)</f>
        <v>12</v>
      </c>
      <c r="P472" s="0" t="str">
        <f aca="false">IF(O472&gt;=15,"Yes","No")</f>
        <v>No</v>
      </c>
      <c r="Q472" s="0" t="s">
        <v>159</v>
      </c>
      <c r="R472" s="2" t="n">
        <v>795000</v>
      </c>
      <c r="S472" s="3" t="n">
        <v>0.05</v>
      </c>
      <c r="T472" s="2" t="n">
        <f aca="false">R472*S472</f>
        <v>39750</v>
      </c>
      <c r="U472" s="4" t="s">
        <v>275</v>
      </c>
    </row>
    <row r="473" customFormat="false" ht="15" hidden="false" customHeight="false" outlineLevel="0" collapsed="false">
      <c r="A473" s="0" t="s">
        <v>1490</v>
      </c>
      <c r="B473" s="0" t="s">
        <v>968</v>
      </c>
      <c r="C473" s="0" t="s">
        <v>26</v>
      </c>
      <c r="D473" s="0" t="s">
        <v>27</v>
      </c>
      <c r="E473" s="0" t="s">
        <v>119</v>
      </c>
      <c r="F473" s="0" t="s">
        <v>41</v>
      </c>
      <c r="G473" s="0" t="s">
        <v>556</v>
      </c>
      <c r="H473" s="0" t="s">
        <v>57</v>
      </c>
      <c r="I473" s="0" t="s">
        <v>272</v>
      </c>
      <c r="J473" s="0" t="s">
        <v>59</v>
      </c>
      <c r="K473" s="0" t="n">
        <v>2</v>
      </c>
      <c r="L473" s="0" t="n">
        <v>2</v>
      </c>
      <c r="M473" s="0" t="n">
        <v>3</v>
      </c>
      <c r="N473" s="0" t="n">
        <v>4</v>
      </c>
      <c r="O473" s="0" t="n">
        <f aca="false">SUM(K473:N473)</f>
        <v>11</v>
      </c>
      <c r="P473" s="0" t="str">
        <f aca="false">IF(O473&gt;=15,"Yes","No")</f>
        <v>No</v>
      </c>
      <c r="Q473" s="0" t="s">
        <v>159</v>
      </c>
      <c r="R473" s="2" t="n">
        <v>242000</v>
      </c>
      <c r="S473" s="3" t="n">
        <v>0.05</v>
      </c>
      <c r="T473" s="2" t="n">
        <f aca="false">R473*S473</f>
        <v>12100</v>
      </c>
      <c r="U473" s="4" t="s">
        <v>810</v>
      </c>
    </row>
    <row r="474" customFormat="false" ht="15" hidden="false" customHeight="false" outlineLevel="0" collapsed="false">
      <c r="A474" s="0" t="s">
        <v>1491</v>
      </c>
      <c r="B474" s="0" t="s">
        <v>1492</v>
      </c>
      <c r="C474" s="0" t="s">
        <v>26</v>
      </c>
      <c r="D474" s="0" t="s">
        <v>27</v>
      </c>
      <c r="E474" s="0" t="s">
        <v>111</v>
      </c>
      <c r="F474" s="0" t="s">
        <v>153</v>
      </c>
      <c r="G474" s="0" t="s">
        <v>1302</v>
      </c>
      <c r="H474" s="0" t="s">
        <v>43</v>
      </c>
      <c r="I474" s="0" t="s">
        <v>319</v>
      </c>
      <c r="J474" s="0" t="s">
        <v>45</v>
      </c>
      <c r="K474" s="0" t="n">
        <v>5</v>
      </c>
      <c r="L474" s="0" t="n">
        <v>5</v>
      </c>
      <c r="M474" s="0" t="n">
        <v>4</v>
      </c>
      <c r="N474" s="0" t="n">
        <v>4</v>
      </c>
      <c r="O474" s="0" t="n">
        <f aca="false">SUM(K474:N474)</f>
        <v>18</v>
      </c>
      <c r="P474" s="0" t="str">
        <f aca="false">IF(O474&gt;=15,"Yes","No")</f>
        <v>Yes</v>
      </c>
      <c r="Q474" s="0" t="s">
        <v>34</v>
      </c>
      <c r="R474" s="2" t="n">
        <v>172000</v>
      </c>
      <c r="S474" s="3" t="n">
        <v>1</v>
      </c>
      <c r="T474" s="2" t="n">
        <f aca="false">R474*S474</f>
        <v>172000</v>
      </c>
      <c r="U474" s="4" t="s">
        <v>1448</v>
      </c>
      <c r="V474" s="4" t="s">
        <v>1493</v>
      </c>
      <c r="W474" s="0" t="n">
        <v>43</v>
      </c>
    </row>
    <row r="475" customFormat="false" ht="15" hidden="false" customHeight="false" outlineLevel="0" collapsed="false">
      <c r="A475" s="0" t="s">
        <v>1494</v>
      </c>
      <c r="B475" s="0" t="s">
        <v>274</v>
      </c>
      <c r="C475" s="0" t="s">
        <v>74</v>
      </c>
      <c r="D475" s="0" t="s">
        <v>53</v>
      </c>
      <c r="E475" s="0" t="s">
        <v>195</v>
      </c>
      <c r="F475" s="0" t="s">
        <v>130</v>
      </c>
      <c r="G475" s="0" t="s">
        <v>1237</v>
      </c>
      <c r="H475" s="0" t="s">
        <v>67</v>
      </c>
      <c r="I475" s="0" t="s">
        <v>634</v>
      </c>
      <c r="J475" s="0" t="s">
        <v>59</v>
      </c>
      <c r="K475" s="0" t="n">
        <v>3</v>
      </c>
      <c r="L475" s="0" t="n">
        <v>3</v>
      </c>
      <c r="M475" s="0" t="n">
        <v>3</v>
      </c>
      <c r="N475" s="0" t="n">
        <v>3</v>
      </c>
      <c r="O475" s="0" t="n">
        <f aca="false">SUM(K475:N475)</f>
        <v>12</v>
      </c>
      <c r="P475" s="0" t="str">
        <f aca="false">IF(O475&gt;=15,"Yes","No")</f>
        <v>No</v>
      </c>
      <c r="Q475" s="0" t="s">
        <v>159</v>
      </c>
      <c r="R475" s="2" t="n">
        <v>817000</v>
      </c>
      <c r="S475" s="3" t="n">
        <v>0.05</v>
      </c>
      <c r="T475" s="2" t="n">
        <f aca="false">R475*S475</f>
        <v>40850</v>
      </c>
      <c r="U475" s="4" t="s">
        <v>890</v>
      </c>
    </row>
    <row r="476" customFormat="false" ht="15" hidden="false" customHeight="false" outlineLevel="0" collapsed="false">
      <c r="A476" s="0" t="s">
        <v>1495</v>
      </c>
      <c r="B476" s="0" t="s">
        <v>1492</v>
      </c>
      <c r="C476" s="0" t="s">
        <v>26</v>
      </c>
      <c r="D476" s="0" t="s">
        <v>27</v>
      </c>
      <c r="E476" s="0" t="s">
        <v>142</v>
      </c>
      <c r="F476" s="0" t="s">
        <v>153</v>
      </c>
      <c r="G476" s="0" t="s">
        <v>904</v>
      </c>
      <c r="H476" s="0" t="s">
        <v>86</v>
      </c>
      <c r="I476" s="0" t="s">
        <v>763</v>
      </c>
      <c r="J476" s="0" t="s">
        <v>69</v>
      </c>
      <c r="K476" s="0" t="n">
        <v>1</v>
      </c>
      <c r="L476" s="0" t="n">
        <v>1</v>
      </c>
      <c r="M476" s="0" t="n">
        <v>1</v>
      </c>
      <c r="N476" s="0" t="n">
        <v>1</v>
      </c>
      <c r="O476" s="0" t="n">
        <f aca="false">SUM(K476:N476)</f>
        <v>4</v>
      </c>
      <c r="P476" s="0" t="str">
        <f aca="false">IF(O476&gt;=15,"Yes","No")</f>
        <v>No</v>
      </c>
      <c r="Q476" s="0" t="s">
        <v>46</v>
      </c>
      <c r="R476" s="2" t="n">
        <v>164000</v>
      </c>
      <c r="S476" s="3" t="n">
        <v>0</v>
      </c>
      <c r="T476" s="2" t="n">
        <f aca="false">R476*S476</f>
        <v>0</v>
      </c>
      <c r="U476" s="4" t="s">
        <v>670</v>
      </c>
      <c r="V476" s="4" t="s">
        <v>927</v>
      </c>
      <c r="W476" s="0" t="n">
        <v>22</v>
      </c>
      <c r="X476" s="4" t="s">
        <v>443</v>
      </c>
    </row>
    <row r="477" customFormat="false" ht="15" hidden="false" customHeight="false" outlineLevel="0" collapsed="false">
      <c r="A477" s="0" t="s">
        <v>1496</v>
      </c>
      <c r="B477" s="0" t="s">
        <v>1439</v>
      </c>
      <c r="C477" s="0" t="s">
        <v>26</v>
      </c>
      <c r="D477" s="0" t="s">
        <v>27</v>
      </c>
      <c r="E477" s="0" t="s">
        <v>195</v>
      </c>
      <c r="F477" s="0" t="s">
        <v>130</v>
      </c>
      <c r="G477" s="0" t="s">
        <v>640</v>
      </c>
      <c r="H477" s="0" t="s">
        <v>86</v>
      </c>
      <c r="I477" s="0" t="s">
        <v>675</v>
      </c>
      <c r="J477" s="0" t="s">
        <v>45</v>
      </c>
      <c r="K477" s="0" t="n">
        <v>4</v>
      </c>
      <c r="L477" s="0" t="n">
        <v>2</v>
      </c>
      <c r="M477" s="0" t="n">
        <v>2</v>
      </c>
      <c r="N477" s="0" t="n">
        <v>1</v>
      </c>
      <c r="O477" s="0" t="n">
        <f aca="false">SUM(K477:N477)</f>
        <v>9</v>
      </c>
      <c r="P477" s="0" t="str">
        <f aca="false">IF(O477&gt;=15,"Yes","No")</f>
        <v>No</v>
      </c>
      <c r="Q477" s="0" t="s">
        <v>60</v>
      </c>
      <c r="R477" s="2" t="n">
        <v>138000</v>
      </c>
      <c r="S477" s="3" t="n">
        <v>0.15</v>
      </c>
      <c r="T477" s="2" t="n">
        <f aca="false">R477*S477</f>
        <v>20700</v>
      </c>
      <c r="U477" s="4" t="s">
        <v>1066</v>
      </c>
    </row>
    <row r="478" customFormat="false" ht="15" hidden="false" customHeight="false" outlineLevel="0" collapsed="false">
      <c r="A478" s="0" t="s">
        <v>1497</v>
      </c>
      <c r="B478" s="0" t="s">
        <v>1089</v>
      </c>
      <c r="C478" s="0" t="s">
        <v>74</v>
      </c>
      <c r="D478" s="0" t="s">
        <v>53</v>
      </c>
      <c r="E478" s="0" t="s">
        <v>84</v>
      </c>
      <c r="F478" s="0" t="s">
        <v>29</v>
      </c>
      <c r="G478" s="0" t="s">
        <v>1498</v>
      </c>
      <c r="H478" s="0" t="s">
        <v>31</v>
      </c>
      <c r="I478" s="0" t="s">
        <v>955</v>
      </c>
      <c r="J478" s="0" t="s">
        <v>33</v>
      </c>
      <c r="K478" s="0" t="n">
        <v>2</v>
      </c>
      <c r="L478" s="0" t="n">
        <v>2</v>
      </c>
      <c r="M478" s="0" t="n">
        <v>3</v>
      </c>
      <c r="N478" s="0" t="n">
        <v>5</v>
      </c>
      <c r="O478" s="0" t="n">
        <f aca="false">SUM(K478:N478)</f>
        <v>12</v>
      </c>
      <c r="P478" s="0" t="str">
        <f aca="false">IF(O478&gt;=15,"Yes","No")</f>
        <v>No</v>
      </c>
      <c r="Q478" s="0" t="s">
        <v>34</v>
      </c>
      <c r="R478" s="2" t="n">
        <v>600000</v>
      </c>
      <c r="S478" s="3" t="n">
        <v>1</v>
      </c>
      <c r="T478" s="2" t="n">
        <f aca="false">R478*S478</f>
        <v>600000</v>
      </c>
      <c r="U478" s="4" t="s">
        <v>848</v>
      </c>
      <c r="V478" s="4" t="s">
        <v>725</v>
      </c>
      <c r="W478" s="0" t="n">
        <v>44</v>
      </c>
    </row>
    <row r="479" customFormat="false" ht="15" hidden="false" customHeight="false" outlineLevel="0" collapsed="false">
      <c r="A479" s="0" t="s">
        <v>1499</v>
      </c>
      <c r="B479" s="0" t="s">
        <v>1401</v>
      </c>
      <c r="C479" s="0" t="s">
        <v>74</v>
      </c>
      <c r="D479" s="0" t="s">
        <v>53</v>
      </c>
      <c r="E479" s="0" t="s">
        <v>136</v>
      </c>
      <c r="F479" s="0" t="s">
        <v>112</v>
      </c>
      <c r="G479" s="0" t="s">
        <v>253</v>
      </c>
      <c r="H479" s="0" t="s">
        <v>248</v>
      </c>
      <c r="I479" s="0" t="s">
        <v>1420</v>
      </c>
      <c r="J479" s="0" t="s">
        <v>45</v>
      </c>
      <c r="K479" s="0" t="n">
        <v>4</v>
      </c>
      <c r="L479" s="0" t="n">
        <v>3</v>
      </c>
      <c r="M479" s="0" t="n">
        <v>1</v>
      </c>
      <c r="N479" s="0" t="n">
        <v>4</v>
      </c>
      <c r="O479" s="0" t="n">
        <f aca="false">SUM(K479:N479)</f>
        <v>12</v>
      </c>
      <c r="P479" s="0" t="str">
        <f aca="false">IF(O479&gt;=15,"Yes","No")</f>
        <v>No</v>
      </c>
      <c r="Q479" s="0" t="s">
        <v>115</v>
      </c>
      <c r="R479" s="2" t="n">
        <v>770000</v>
      </c>
      <c r="S479" s="3" t="n">
        <v>0.35</v>
      </c>
      <c r="T479" s="2" t="n">
        <f aca="false">R479*S479</f>
        <v>269500</v>
      </c>
      <c r="U479" s="4" t="s">
        <v>356</v>
      </c>
    </row>
    <row r="480" customFormat="false" ht="15" hidden="false" customHeight="false" outlineLevel="0" collapsed="false">
      <c r="A480" s="0" t="s">
        <v>1500</v>
      </c>
      <c r="B480" s="0" t="s">
        <v>1190</v>
      </c>
      <c r="C480" s="0" t="s">
        <v>39</v>
      </c>
      <c r="D480" s="0" t="s">
        <v>27</v>
      </c>
      <c r="E480" s="0" t="s">
        <v>28</v>
      </c>
      <c r="F480" s="0" t="s">
        <v>153</v>
      </c>
      <c r="G480" s="0" t="s">
        <v>1501</v>
      </c>
      <c r="H480" s="0" t="s">
        <v>86</v>
      </c>
      <c r="I480" s="0" t="s">
        <v>363</v>
      </c>
      <c r="J480" s="0" t="s">
        <v>69</v>
      </c>
      <c r="K480" s="0" t="n">
        <v>1</v>
      </c>
      <c r="L480" s="0" t="n">
        <v>4</v>
      </c>
      <c r="M480" s="0" t="n">
        <v>1</v>
      </c>
      <c r="N480" s="0" t="n">
        <v>2</v>
      </c>
      <c r="O480" s="0" t="n">
        <f aca="false">SUM(K480:N480)</f>
        <v>8</v>
      </c>
      <c r="P480" s="0" t="str">
        <f aca="false">IF(O480&gt;=15,"Yes","No")</f>
        <v>No</v>
      </c>
      <c r="Q480" s="0" t="s">
        <v>46</v>
      </c>
      <c r="R480" s="2" t="n">
        <v>162000</v>
      </c>
      <c r="S480" s="3" t="n">
        <v>0</v>
      </c>
      <c r="T480" s="2" t="n">
        <f aca="false">R480*S480</f>
        <v>0</v>
      </c>
      <c r="U480" s="4" t="s">
        <v>279</v>
      </c>
      <c r="V480" s="4" t="s">
        <v>1502</v>
      </c>
      <c r="W480" s="0" t="n">
        <v>48</v>
      </c>
      <c r="X480" s="4" t="s">
        <v>326</v>
      </c>
    </row>
    <row r="481" customFormat="false" ht="15" hidden="false" customHeight="false" outlineLevel="0" collapsed="false">
      <c r="A481" s="0" t="s">
        <v>1503</v>
      </c>
      <c r="B481" s="0" t="s">
        <v>571</v>
      </c>
      <c r="C481" s="0" t="s">
        <v>39</v>
      </c>
      <c r="D481" s="0" t="s">
        <v>27</v>
      </c>
      <c r="E481" s="0" t="s">
        <v>119</v>
      </c>
      <c r="F481" s="0" t="s">
        <v>29</v>
      </c>
      <c r="G481" s="0" t="s">
        <v>185</v>
      </c>
      <c r="H481" s="0" t="s">
        <v>67</v>
      </c>
      <c r="I481" s="0" t="s">
        <v>905</v>
      </c>
      <c r="J481" s="0" t="s">
        <v>69</v>
      </c>
      <c r="K481" s="0" t="n">
        <v>4</v>
      </c>
      <c r="L481" s="0" t="n">
        <v>3</v>
      </c>
      <c r="M481" s="0" t="n">
        <v>1</v>
      </c>
      <c r="N481" s="0" t="n">
        <v>2</v>
      </c>
      <c r="O481" s="0" t="n">
        <f aca="false">SUM(K481:N481)</f>
        <v>10</v>
      </c>
      <c r="P481" s="0" t="str">
        <f aca="false">IF(O481&gt;=15,"Yes","No")</f>
        <v>No</v>
      </c>
      <c r="Q481" s="0" t="s">
        <v>60</v>
      </c>
      <c r="R481" s="2" t="n">
        <v>222000</v>
      </c>
      <c r="S481" s="3" t="n">
        <v>0.15</v>
      </c>
      <c r="T481" s="2" t="n">
        <f aca="false">R481*S481</f>
        <v>33300</v>
      </c>
      <c r="U481" s="4" t="s">
        <v>121</v>
      </c>
    </row>
    <row r="482" customFormat="false" ht="15" hidden="false" customHeight="false" outlineLevel="0" collapsed="false">
      <c r="A482" s="0" t="s">
        <v>1504</v>
      </c>
      <c r="B482" s="0" t="s">
        <v>1505</v>
      </c>
      <c r="C482" s="0" t="s">
        <v>26</v>
      </c>
      <c r="D482" s="0" t="s">
        <v>27</v>
      </c>
      <c r="E482" s="0" t="s">
        <v>136</v>
      </c>
      <c r="F482" s="0" t="s">
        <v>29</v>
      </c>
      <c r="G482" s="0" t="s">
        <v>292</v>
      </c>
      <c r="H482" s="0" t="s">
        <v>67</v>
      </c>
      <c r="I482" s="0" t="s">
        <v>1044</v>
      </c>
      <c r="J482" s="0" t="s">
        <v>69</v>
      </c>
      <c r="K482" s="0" t="n">
        <v>3</v>
      </c>
      <c r="L482" s="0" t="n">
        <v>2</v>
      </c>
      <c r="M482" s="0" t="n">
        <v>1</v>
      </c>
      <c r="N482" s="0" t="n">
        <v>4</v>
      </c>
      <c r="O482" s="0" t="n">
        <f aca="false">SUM(K482:N482)</f>
        <v>10</v>
      </c>
      <c r="P482" s="0" t="str">
        <f aca="false">IF(O482&gt;=15,"Yes","No")</f>
        <v>No</v>
      </c>
      <c r="Q482" s="0" t="s">
        <v>159</v>
      </c>
      <c r="R482" s="2" t="n">
        <v>205000</v>
      </c>
      <c r="S482" s="3" t="n">
        <v>0.05</v>
      </c>
      <c r="T482" s="2" t="n">
        <f aca="false">R482*S482</f>
        <v>10250</v>
      </c>
      <c r="U482" s="4" t="s">
        <v>890</v>
      </c>
    </row>
    <row r="483" customFormat="false" ht="15" hidden="false" customHeight="false" outlineLevel="0" collapsed="false">
      <c r="A483" s="0" t="s">
        <v>1506</v>
      </c>
      <c r="B483" s="0" t="s">
        <v>1507</v>
      </c>
      <c r="C483" s="0" t="s">
        <v>26</v>
      </c>
      <c r="D483" s="0" t="s">
        <v>27</v>
      </c>
      <c r="E483" s="0" t="s">
        <v>65</v>
      </c>
      <c r="F483" s="0" t="s">
        <v>130</v>
      </c>
      <c r="G483" s="0" t="s">
        <v>131</v>
      </c>
      <c r="H483" s="0" t="s">
        <v>67</v>
      </c>
      <c r="I483" s="0" t="s">
        <v>406</v>
      </c>
      <c r="J483" s="0" t="s">
        <v>45</v>
      </c>
      <c r="K483" s="0" t="n">
        <v>2</v>
      </c>
      <c r="L483" s="0" t="n">
        <v>3</v>
      </c>
      <c r="M483" s="0" t="n">
        <v>3</v>
      </c>
      <c r="N483" s="0" t="n">
        <v>3</v>
      </c>
      <c r="O483" s="0" t="n">
        <f aca="false">SUM(K483:N483)</f>
        <v>11</v>
      </c>
      <c r="P483" s="0" t="str">
        <f aca="false">IF(O483&gt;=15,"Yes","No")</f>
        <v>No</v>
      </c>
      <c r="Q483" s="0" t="s">
        <v>159</v>
      </c>
      <c r="R483" s="2" t="n">
        <v>184000</v>
      </c>
      <c r="S483" s="3" t="n">
        <v>0.05</v>
      </c>
      <c r="T483" s="2" t="n">
        <f aca="false">R483*S483</f>
        <v>9200</v>
      </c>
      <c r="U483" s="4" t="s">
        <v>962</v>
      </c>
    </row>
    <row r="484" customFormat="false" ht="15" hidden="false" customHeight="false" outlineLevel="0" collapsed="false">
      <c r="A484" s="0" t="s">
        <v>1508</v>
      </c>
      <c r="B484" s="0" t="s">
        <v>513</v>
      </c>
      <c r="C484" s="0" t="s">
        <v>26</v>
      </c>
      <c r="D484" s="0" t="s">
        <v>53</v>
      </c>
      <c r="E484" s="0" t="s">
        <v>65</v>
      </c>
      <c r="F484" s="0" t="s">
        <v>75</v>
      </c>
      <c r="G484" s="0" t="s">
        <v>514</v>
      </c>
      <c r="H484" s="0" t="s">
        <v>86</v>
      </c>
      <c r="I484" s="0" t="s">
        <v>866</v>
      </c>
      <c r="J484" s="0" t="s">
        <v>78</v>
      </c>
      <c r="K484" s="0" t="n">
        <v>3</v>
      </c>
      <c r="L484" s="0" t="n">
        <v>1</v>
      </c>
      <c r="M484" s="0" t="n">
        <v>2</v>
      </c>
      <c r="N484" s="0" t="n">
        <v>1</v>
      </c>
      <c r="O484" s="0" t="n">
        <f aca="false">SUM(K484:N484)</f>
        <v>7</v>
      </c>
      <c r="P484" s="0" t="str">
        <f aca="false">IF(O484&gt;=15,"Yes","No")</f>
        <v>No</v>
      </c>
      <c r="Q484" s="0" t="s">
        <v>34</v>
      </c>
      <c r="R484" s="2" t="n">
        <v>783000</v>
      </c>
      <c r="S484" s="3" t="n">
        <v>1</v>
      </c>
      <c r="T484" s="2" t="n">
        <f aca="false">R484*S484</f>
        <v>783000</v>
      </c>
      <c r="U484" s="4" t="s">
        <v>1256</v>
      </c>
      <c r="V484" s="4" t="s">
        <v>722</v>
      </c>
      <c r="W484" s="0" t="n">
        <v>41</v>
      </c>
    </row>
    <row r="485" customFormat="false" ht="15" hidden="false" customHeight="false" outlineLevel="0" collapsed="false">
      <c r="A485" s="0" t="s">
        <v>1509</v>
      </c>
      <c r="B485" s="0" t="s">
        <v>1228</v>
      </c>
      <c r="C485" s="0" t="s">
        <v>74</v>
      </c>
      <c r="D485" s="0" t="s">
        <v>27</v>
      </c>
      <c r="E485" s="0" t="s">
        <v>215</v>
      </c>
      <c r="F485" s="0" t="s">
        <v>41</v>
      </c>
      <c r="G485" s="0" t="s">
        <v>1510</v>
      </c>
      <c r="H485" s="0" t="s">
        <v>57</v>
      </c>
      <c r="I485" s="0" t="s">
        <v>890</v>
      </c>
      <c r="J485" s="0" t="s">
        <v>59</v>
      </c>
      <c r="K485" s="0" t="n">
        <v>1</v>
      </c>
      <c r="L485" s="0" t="n">
        <v>2</v>
      </c>
      <c r="M485" s="0" t="n">
        <v>3</v>
      </c>
      <c r="N485" s="0" t="n">
        <v>1</v>
      </c>
      <c r="O485" s="0" t="n">
        <f aca="false">SUM(K485:N485)</f>
        <v>7</v>
      </c>
      <c r="P485" s="0" t="str">
        <f aca="false">IF(O485&gt;=15,"Yes","No")</f>
        <v>No</v>
      </c>
      <c r="Q485" s="0" t="s">
        <v>46</v>
      </c>
      <c r="R485" s="2" t="n">
        <v>240000</v>
      </c>
      <c r="S485" s="3" t="n">
        <v>0</v>
      </c>
      <c r="T485" s="2" t="n">
        <f aca="false">R485*S485</f>
        <v>0</v>
      </c>
      <c r="U485" s="4" t="s">
        <v>544</v>
      </c>
      <c r="V485" s="4" t="s">
        <v>714</v>
      </c>
      <c r="W485" s="0" t="n">
        <v>37</v>
      </c>
      <c r="X485" s="4" t="s">
        <v>49</v>
      </c>
    </row>
    <row r="486" customFormat="false" ht="15" hidden="false" customHeight="false" outlineLevel="0" collapsed="false">
      <c r="A486" s="0" t="s">
        <v>1511</v>
      </c>
      <c r="B486" s="0" t="s">
        <v>1486</v>
      </c>
      <c r="C486" s="0" t="s">
        <v>26</v>
      </c>
      <c r="D486" s="0" t="s">
        <v>27</v>
      </c>
      <c r="E486" s="0" t="s">
        <v>136</v>
      </c>
      <c r="F486" s="0" t="s">
        <v>29</v>
      </c>
      <c r="G486" s="0" t="s">
        <v>1512</v>
      </c>
      <c r="H486" s="0" t="s">
        <v>86</v>
      </c>
      <c r="I486" s="0" t="s">
        <v>417</v>
      </c>
      <c r="J486" s="0" t="s">
        <v>59</v>
      </c>
      <c r="K486" s="0" t="n">
        <v>1</v>
      </c>
      <c r="L486" s="0" t="n">
        <v>1</v>
      </c>
      <c r="M486" s="0" t="n">
        <v>1</v>
      </c>
      <c r="N486" s="0" t="n">
        <v>1</v>
      </c>
      <c r="O486" s="0" t="n">
        <f aca="false">SUM(K486:N486)</f>
        <v>4</v>
      </c>
      <c r="P486" s="0" t="str">
        <f aca="false">IF(O486&gt;=15,"Yes","No")</f>
        <v>No</v>
      </c>
      <c r="Q486" s="0" t="s">
        <v>60</v>
      </c>
      <c r="R486" s="2" t="n">
        <v>239000</v>
      </c>
      <c r="S486" s="3" t="n">
        <v>0.15</v>
      </c>
      <c r="T486" s="2" t="n">
        <f aca="false">R486*S486</f>
        <v>35850</v>
      </c>
      <c r="U486" s="4" t="s">
        <v>1315</v>
      </c>
    </row>
    <row r="487" customFormat="false" ht="15" hidden="false" customHeight="false" outlineLevel="0" collapsed="false">
      <c r="A487" s="0" t="s">
        <v>1513</v>
      </c>
      <c r="B487" s="0" t="s">
        <v>200</v>
      </c>
      <c r="C487" s="0" t="s">
        <v>264</v>
      </c>
      <c r="D487" s="0" t="s">
        <v>53</v>
      </c>
      <c r="E487" s="0" t="s">
        <v>54</v>
      </c>
      <c r="F487" s="0" t="s">
        <v>29</v>
      </c>
      <c r="G487" s="0" t="s">
        <v>1471</v>
      </c>
      <c r="H487" s="0" t="s">
        <v>86</v>
      </c>
      <c r="I487" s="0" t="s">
        <v>821</v>
      </c>
      <c r="J487" s="0" t="s">
        <v>59</v>
      </c>
      <c r="K487" s="0" t="n">
        <v>2</v>
      </c>
      <c r="L487" s="0" t="n">
        <v>2</v>
      </c>
      <c r="M487" s="0" t="n">
        <v>2</v>
      </c>
      <c r="N487" s="0" t="n">
        <v>1</v>
      </c>
      <c r="O487" s="0" t="n">
        <f aca="false">SUM(K487:N487)</f>
        <v>7</v>
      </c>
      <c r="P487" s="0" t="str">
        <f aca="false">IF(O487&gt;=15,"Yes","No")</f>
        <v>No</v>
      </c>
      <c r="Q487" s="0" t="s">
        <v>60</v>
      </c>
      <c r="R487" s="2" t="n">
        <v>524000</v>
      </c>
      <c r="S487" s="3" t="n">
        <v>0.15</v>
      </c>
      <c r="T487" s="2" t="n">
        <f aca="false">R487*S487</f>
        <v>78600</v>
      </c>
      <c r="U487" s="4" t="s">
        <v>467</v>
      </c>
    </row>
    <row r="488" customFormat="false" ht="15" hidden="false" customHeight="false" outlineLevel="0" collapsed="false">
      <c r="A488" s="0" t="s">
        <v>1514</v>
      </c>
      <c r="B488" s="0" t="s">
        <v>616</v>
      </c>
      <c r="C488" s="0" t="s">
        <v>39</v>
      </c>
      <c r="D488" s="0" t="s">
        <v>27</v>
      </c>
      <c r="E488" s="0" t="s">
        <v>40</v>
      </c>
      <c r="F488" s="0" t="s">
        <v>179</v>
      </c>
      <c r="G488" s="0" t="s">
        <v>470</v>
      </c>
      <c r="H488" s="0" t="s">
        <v>57</v>
      </c>
      <c r="I488" s="0" t="s">
        <v>971</v>
      </c>
      <c r="J488" s="0" t="s">
        <v>78</v>
      </c>
      <c r="K488" s="0" t="n">
        <v>1</v>
      </c>
      <c r="L488" s="0" t="n">
        <v>3</v>
      </c>
      <c r="M488" s="0" t="n">
        <v>4</v>
      </c>
      <c r="N488" s="0" t="n">
        <v>2</v>
      </c>
      <c r="O488" s="0" t="n">
        <f aca="false">SUM(K488:N488)</f>
        <v>10</v>
      </c>
      <c r="P488" s="0" t="str">
        <f aca="false">IF(O488&gt;=15,"Yes","No")</f>
        <v>No</v>
      </c>
      <c r="Q488" s="0" t="s">
        <v>60</v>
      </c>
      <c r="R488" s="2" t="n">
        <v>209000</v>
      </c>
      <c r="S488" s="3" t="n">
        <v>0.15</v>
      </c>
      <c r="T488" s="2" t="n">
        <f aca="false">R488*S488</f>
        <v>31350</v>
      </c>
      <c r="U488" s="4" t="s">
        <v>1250</v>
      </c>
    </row>
    <row r="489" customFormat="false" ht="15" hidden="false" customHeight="false" outlineLevel="0" collapsed="false">
      <c r="A489" s="0" t="s">
        <v>1515</v>
      </c>
      <c r="B489" s="0" t="s">
        <v>1109</v>
      </c>
      <c r="C489" s="0" t="s">
        <v>26</v>
      </c>
      <c r="D489" s="0" t="s">
        <v>53</v>
      </c>
      <c r="E489" s="0" t="s">
        <v>65</v>
      </c>
      <c r="F489" s="0" t="s">
        <v>75</v>
      </c>
      <c r="G489" s="0" t="s">
        <v>1075</v>
      </c>
      <c r="H489" s="0" t="s">
        <v>86</v>
      </c>
      <c r="I489" s="0" t="s">
        <v>435</v>
      </c>
      <c r="J489" s="0" t="s">
        <v>59</v>
      </c>
      <c r="K489" s="0" t="n">
        <v>1</v>
      </c>
      <c r="L489" s="0" t="n">
        <v>1</v>
      </c>
      <c r="M489" s="0" t="n">
        <v>1</v>
      </c>
      <c r="N489" s="0" t="n">
        <v>3</v>
      </c>
      <c r="O489" s="0" t="n">
        <f aca="false">SUM(K489:N489)</f>
        <v>6</v>
      </c>
      <c r="P489" s="0" t="str">
        <f aca="false">IF(O489&gt;=15,"Yes","No")</f>
        <v>No</v>
      </c>
      <c r="Q489" s="0" t="s">
        <v>46</v>
      </c>
      <c r="R489" s="2" t="n">
        <v>591000</v>
      </c>
      <c r="S489" s="3" t="n">
        <v>0</v>
      </c>
      <c r="T489" s="2" t="n">
        <f aca="false">R489*S489</f>
        <v>0</v>
      </c>
      <c r="U489" s="4" t="s">
        <v>1516</v>
      </c>
      <c r="V489" s="4" t="s">
        <v>150</v>
      </c>
      <c r="W489" s="0" t="n">
        <v>10</v>
      </c>
      <c r="X489" s="4" t="s">
        <v>257</v>
      </c>
    </row>
    <row r="490" customFormat="false" ht="15" hidden="false" customHeight="false" outlineLevel="0" collapsed="false">
      <c r="A490" s="0" t="s">
        <v>1517</v>
      </c>
      <c r="B490" s="0" t="s">
        <v>506</v>
      </c>
      <c r="C490" s="0" t="s">
        <v>74</v>
      </c>
      <c r="D490" s="0" t="s">
        <v>53</v>
      </c>
      <c r="E490" s="0" t="s">
        <v>99</v>
      </c>
      <c r="F490" s="0" t="s">
        <v>179</v>
      </c>
      <c r="G490" s="0" t="s">
        <v>729</v>
      </c>
      <c r="H490" s="0" t="s">
        <v>67</v>
      </c>
      <c r="I490" s="0" t="s">
        <v>378</v>
      </c>
      <c r="J490" s="0" t="s">
        <v>69</v>
      </c>
      <c r="K490" s="0" t="n">
        <v>4</v>
      </c>
      <c r="L490" s="0" t="n">
        <v>2</v>
      </c>
      <c r="M490" s="0" t="n">
        <v>3</v>
      </c>
      <c r="N490" s="0" t="n">
        <v>3</v>
      </c>
      <c r="O490" s="0" t="n">
        <f aca="false">SUM(K490:N490)</f>
        <v>12</v>
      </c>
      <c r="P490" s="0" t="str">
        <f aca="false">IF(O490&gt;=15,"Yes","No")</f>
        <v>No</v>
      </c>
      <c r="Q490" s="0" t="s">
        <v>159</v>
      </c>
      <c r="R490" s="2" t="n">
        <v>795000</v>
      </c>
      <c r="S490" s="3" t="n">
        <v>0.05</v>
      </c>
      <c r="T490" s="2" t="n">
        <f aca="false">R490*S490</f>
        <v>39750</v>
      </c>
      <c r="U490" s="4" t="s">
        <v>648</v>
      </c>
    </row>
    <row r="491" customFormat="false" ht="15" hidden="false" customHeight="false" outlineLevel="0" collapsed="false">
      <c r="A491" s="0" t="s">
        <v>1518</v>
      </c>
      <c r="B491" s="0" t="s">
        <v>1036</v>
      </c>
      <c r="C491" s="0" t="s">
        <v>152</v>
      </c>
      <c r="D491" s="0" t="s">
        <v>27</v>
      </c>
      <c r="E491" s="0" t="s">
        <v>65</v>
      </c>
      <c r="F491" s="0" t="s">
        <v>130</v>
      </c>
      <c r="G491" s="0" t="s">
        <v>632</v>
      </c>
      <c r="H491" s="0" t="s">
        <v>67</v>
      </c>
      <c r="I491" s="0" t="s">
        <v>744</v>
      </c>
      <c r="J491" s="0" t="s">
        <v>69</v>
      </c>
      <c r="K491" s="0" t="n">
        <v>2</v>
      </c>
      <c r="L491" s="0" t="n">
        <v>5</v>
      </c>
      <c r="M491" s="0" t="n">
        <v>5</v>
      </c>
      <c r="N491" s="0" t="n">
        <v>2</v>
      </c>
      <c r="O491" s="0" t="n">
        <f aca="false">SUM(K491:N491)</f>
        <v>14</v>
      </c>
      <c r="P491" s="0" t="str">
        <f aca="false">IF(O491&gt;=15,"Yes","No")</f>
        <v>No</v>
      </c>
      <c r="Q491" s="0" t="s">
        <v>46</v>
      </c>
      <c r="R491" s="2" t="n">
        <v>166000</v>
      </c>
      <c r="S491" s="3" t="n">
        <v>0</v>
      </c>
      <c r="T491" s="2" t="n">
        <f aca="false">R491*S491</f>
        <v>0</v>
      </c>
      <c r="U491" s="4" t="s">
        <v>745</v>
      </c>
      <c r="V491" s="4" t="s">
        <v>740</v>
      </c>
      <c r="W491" s="0" t="n">
        <v>22</v>
      </c>
      <c r="X491" s="4" t="s">
        <v>81</v>
      </c>
    </row>
    <row r="492" customFormat="false" ht="15" hidden="false" customHeight="false" outlineLevel="0" collapsed="false">
      <c r="A492" s="0" t="s">
        <v>1519</v>
      </c>
      <c r="B492" s="0" t="s">
        <v>929</v>
      </c>
      <c r="C492" s="0" t="s">
        <v>74</v>
      </c>
      <c r="D492" s="0" t="s">
        <v>53</v>
      </c>
      <c r="E492" s="0" t="s">
        <v>28</v>
      </c>
      <c r="F492" s="0" t="s">
        <v>179</v>
      </c>
      <c r="G492" s="0" t="s">
        <v>762</v>
      </c>
      <c r="H492" s="0" t="s">
        <v>67</v>
      </c>
      <c r="I492" s="0" t="s">
        <v>810</v>
      </c>
      <c r="J492" s="0" t="s">
        <v>78</v>
      </c>
      <c r="K492" s="0" t="n">
        <v>3</v>
      </c>
      <c r="L492" s="0" t="n">
        <v>4</v>
      </c>
      <c r="M492" s="0" t="n">
        <v>5</v>
      </c>
      <c r="N492" s="0" t="n">
        <v>3</v>
      </c>
      <c r="O492" s="0" t="n">
        <f aca="false">SUM(K492:N492)</f>
        <v>15</v>
      </c>
      <c r="P492" s="0" t="str">
        <f aca="false">IF(O492&gt;=15,"Yes","No")</f>
        <v>Yes</v>
      </c>
      <c r="Q492" s="0" t="s">
        <v>46</v>
      </c>
      <c r="R492" s="2" t="n">
        <v>614000</v>
      </c>
      <c r="S492" s="3" t="n">
        <v>0</v>
      </c>
      <c r="T492" s="2" t="n">
        <f aca="false">R492*S492</f>
        <v>0</v>
      </c>
      <c r="U492" s="4" t="s">
        <v>638</v>
      </c>
      <c r="V492" s="4" t="s">
        <v>296</v>
      </c>
      <c r="W492" s="0" t="n">
        <v>44</v>
      </c>
      <c r="X492" s="4" t="s">
        <v>49</v>
      </c>
    </row>
    <row r="493" customFormat="false" ht="15" hidden="false" customHeight="false" outlineLevel="0" collapsed="false">
      <c r="A493" s="0" t="s">
        <v>1520</v>
      </c>
      <c r="B493" s="0" t="s">
        <v>1012</v>
      </c>
      <c r="C493" s="0" t="s">
        <v>74</v>
      </c>
      <c r="D493" s="0" t="s">
        <v>27</v>
      </c>
      <c r="E493" s="0" t="s">
        <v>84</v>
      </c>
      <c r="F493" s="0" t="s">
        <v>41</v>
      </c>
      <c r="G493" s="0" t="s">
        <v>1521</v>
      </c>
      <c r="H493" s="0" t="s">
        <v>67</v>
      </c>
      <c r="I493" s="0" t="s">
        <v>1230</v>
      </c>
      <c r="J493" s="0" t="s">
        <v>45</v>
      </c>
      <c r="K493" s="0" t="n">
        <v>3</v>
      </c>
      <c r="L493" s="0" t="n">
        <v>4</v>
      </c>
      <c r="M493" s="0" t="n">
        <v>4</v>
      </c>
      <c r="N493" s="0" t="n">
        <v>3</v>
      </c>
      <c r="O493" s="0" t="n">
        <f aca="false">SUM(K493:N493)</f>
        <v>14</v>
      </c>
      <c r="P493" s="0" t="str">
        <f aca="false">IF(O493&gt;=15,"Yes","No")</f>
        <v>No</v>
      </c>
      <c r="Q493" s="0" t="s">
        <v>46</v>
      </c>
      <c r="R493" s="2" t="n">
        <v>148000</v>
      </c>
      <c r="S493" s="3" t="n">
        <v>0</v>
      </c>
      <c r="T493" s="2" t="n">
        <f aca="false">R493*S493</f>
        <v>0</v>
      </c>
      <c r="U493" s="4" t="s">
        <v>885</v>
      </c>
      <c r="V493" s="4" t="s">
        <v>87</v>
      </c>
      <c r="W493" s="0" t="n">
        <v>19</v>
      </c>
      <c r="X493" s="4" t="s">
        <v>326</v>
      </c>
    </row>
    <row r="494" customFormat="false" ht="15" hidden="false" customHeight="false" outlineLevel="0" collapsed="false">
      <c r="A494" s="0" t="s">
        <v>1522</v>
      </c>
      <c r="B494" s="0" t="s">
        <v>1123</v>
      </c>
      <c r="C494" s="0" t="s">
        <v>26</v>
      </c>
      <c r="D494" s="0" t="s">
        <v>27</v>
      </c>
      <c r="E494" s="0" t="s">
        <v>195</v>
      </c>
      <c r="F494" s="0" t="s">
        <v>75</v>
      </c>
      <c r="G494" s="0" t="s">
        <v>1523</v>
      </c>
      <c r="H494" s="0" t="s">
        <v>43</v>
      </c>
      <c r="I494" s="0" t="s">
        <v>1524</v>
      </c>
      <c r="J494" s="0" t="s">
        <v>59</v>
      </c>
      <c r="K494" s="0" t="n">
        <v>4</v>
      </c>
      <c r="L494" s="0" t="n">
        <v>2</v>
      </c>
      <c r="M494" s="0" t="n">
        <v>5</v>
      </c>
      <c r="N494" s="0" t="n">
        <v>4</v>
      </c>
      <c r="O494" s="0" t="n">
        <f aca="false">SUM(K494:N494)</f>
        <v>15</v>
      </c>
      <c r="P494" s="0" t="str">
        <f aca="false">IF(O494&gt;=15,"Yes","No")</f>
        <v>Yes</v>
      </c>
      <c r="Q494" s="0" t="s">
        <v>115</v>
      </c>
      <c r="R494" s="2" t="n">
        <v>181000</v>
      </c>
      <c r="S494" s="3" t="n">
        <v>0.35</v>
      </c>
      <c r="T494" s="2" t="n">
        <f aca="false">R494*S494</f>
        <v>63350</v>
      </c>
      <c r="U494" s="4" t="s">
        <v>1357</v>
      </c>
    </row>
    <row r="495" customFormat="false" ht="15" hidden="false" customHeight="false" outlineLevel="0" collapsed="false">
      <c r="A495" s="0" t="s">
        <v>1525</v>
      </c>
      <c r="B495" s="0" t="s">
        <v>312</v>
      </c>
      <c r="C495" s="0" t="s">
        <v>39</v>
      </c>
      <c r="D495" s="0" t="s">
        <v>53</v>
      </c>
      <c r="E495" s="0" t="s">
        <v>28</v>
      </c>
      <c r="F495" s="0" t="s">
        <v>130</v>
      </c>
      <c r="G495" s="0" t="s">
        <v>875</v>
      </c>
      <c r="H495" s="0" t="s">
        <v>67</v>
      </c>
      <c r="I495" s="0" t="s">
        <v>557</v>
      </c>
      <c r="J495" s="0" t="s">
        <v>69</v>
      </c>
      <c r="K495" s="0" t="n">
        <v>4</v>
      </c>
      <c r="L495" s="0" t="n">
        <v>3</v>
      </c>
      <c r="M495" s="0" t="n">
        <v>5</v>
      </c>
      <c r="N495" s="0" t="n">
        <v>3</v>
      </c>
      <c r="O495" s="0" t="n">
        <f aca="false">SUM(K495:N495)</f>
        <v>15</v>
      </c>
      <c r="P495" s="0" t="str">
        <f aca="false">IF(O495&gt;=15,"Yes","No")</f>
        <v>Yes</v>
      </c>
      <c r="Q495" s="0" t="s">
        <v>46</v>
      </c>
      <c r="R495" s="2" t="n">
        <v>772000</v>
      </c>
      <c r="S495" s="3" t="n">
        <v>0</v>
      </c>
      <c r="T495" s="2" t="n">
        <f aca="false">R495*S495</f>
        <v>0</v>
      </c>
      <c r="U495" s="4" t="s">
        <v>905</v>
      </c>
      <c r="V495" s="4" t="s">
        <v>1044</v>
      </c>
      <c r="W495" s="0" t="n">
        <v>44</v>
      </c>
      <c r="X495" s="4" t="s">
        <v>257</v>
      </c>
    </row>
    <row r="496" customFormat="false" ht="15" hidden="false" customHeight="false" outlineLevel="0" collapsed="false">
      <c r="A496" s="0" t="s">
        <v>1526</v>
      </c>
      <c r="B496" s="0" t="s">
        <v>636</v>
      </c>
      <c r="C496" s="0" t="s">
        <v>129</v>
      </c>
      <c r="D496" s="0" t="s">
        <v>27</v>
      </c>
      <c r="E496" s="0" t="s">
        <v>111</v>
      </c>
      <c r="F496" s="0" t="s">
        <v>112</v>
      </c>
      <c r="G496" s="0" t="s">
        <v>1399</v>
      </c>
      <c r="H496" s="0" t="s">
        <v>31</v>
      </c>
      <c r="I496" s="0" t="s">
        <v>1372</v>
      </c>
      <c r="J496" s="0" t="s">
        <v>59</v>
      </c>
      <c r="K496" s="0" t="n">
        <v>3</v>
      </c>
      <c r="L496" s="0" t="n">
        <v>4</v>
      </c>
      <c r="M496" s="0" t="n">
        <v>2</v>
      </c>
      <c r="N496" s="0" t="n">
        <v>4</v>
      </c>
      <c r="O496" s="0" t="n">
        <f aca="false">SUM(K496:N496)</f>
        <v>13</v>
      </c>
      <c r="P496" s="0" t="str">
        <f aca="false">IF(O496&gt;=15,"Yes","No")</f>
        <v>No</v>
      </c>
      <c r="Q496" s="0" t="s">
        <v>46</v>
      </c>
      <c r="R496" s="2" t="n">
        <v>174000</v>
      </c>
      <c r="S496" s="3" t="n">
        <v>0</v>
      </c>
      <c r="T496" s="2" t="n">
        <f aca="false">R496*S496</f>
        <v>0</v>
      </c>
      <c r="U496" s="4" t="s">
        <v>289</v>
      </c>
      <c r="V496" s="4" t="s">
        <v>393</v>
      </c>
      <c r="W496" s="0" t="n">
        <v>35</v>
      </c>
      <c r="X496" s="4" t="s">
        <v>257</v>
      </c>
    </row>
    <row r="497" customFormat="false" ht="15" hidden="false" customHeight="false" outlineLevel="0" collapsed="false">
      <c r="A497" s="0" t="s">
        <v>1527</v>
      </c>
      <c r="B497" s="0" t="s">
        <v>1089</v>
      </c>
      <c r="C497" s="0" t="s">
        <v>74</v>
      </c>
      <c r="D497" s="0" t="s">
        <v>27</v>
      </c>
      <c r="E497" s="0" t="s">
        <v>178</v>
      </c>
      <c r="F497" s="0" t="s">
        <v>29</v>
      </c>
      <c r="G497" s="0" t="s">
        <v>861</v>
      </c>
      <c r="H497" s="0" t="s">
        <v>67</v>
      </c>
      <c r="I497" s="0" t="s">
        <v>1027</v>
      </c>
      <c r="J497" s="0" t="s">
        <v>33</v>
      </c>
      <c r="K497" s="0" t="n">
        <v>4</v>
      </c>
      <c r="L497" s="0" t="n">
        <v>2</v>
      </c>
      <c r="M497" s="0" t="n">
        <v>5</v>
      </c>
      <c r="N497" s="0" t="n">
        <v>3</v>
      </c>
      <c r="O497" s="0" t="n">
        <f aca="false">SUM(K497:N497)</f>
        <v>14</v>
      </c>
      <c r="P497" s="0" t="str">
        <f aca="false">IF(O497&gt;=15,"Yes","No")</f>
        <v>No</v>
      </c>
      <c r="Q497" s="0" t="s">
        <v>60</v>
      </c>
      <c r="R497" s="2" t="n">
        <v>178000</v>
      </c>
      <c r="S497" s="3" t="n">
        <v>0.15</v>
      </c>
      <c r="T497" s="2" t="n">
        <f aca="false">R497*S497</f>
        <v>26700</v>
      </c>
      <c r="U497" s="4" t="s">
        <v>625</v>
      </c>
    </row>
    <row r="498" customFormat="false" ht="15" hidden="false" customHeight="false" outlineLevel="0" collapsed="false">
      <c r="A498" s="0" t="s">
        <v>1528</v>
      </c>
      <c r="B498" s="0" t="s">
        <v>1388</v>
      </c>
      <c r="C498" s="0" t="s">
        <v>129</v>
      </c>
      <c r="D498" s="0" t="s">
        <v>53</v>
      </c>
      <c r="E498" s="0" t="s">
        <v>92</v>
      </c>
      <c r="F498" s="0" t="s">
        <v>179</v>
      </c>
      <c r="G498" s="0" t="s">
        <v>1529</v>
      </c>
      <c r="H498" s="0" t="s">
        <v>86</v>
      </c>
      <c r="I498" s="0" t="s">
        <v>1530</v>
      </c>
      <c r="J498" s="0" t="s">
        <v>59</v>
      </c>
      <c r="K498" s="0" t="n">
        <v>1</v>
      </c>
      <c r="L498" s="0" t="n">
        <v>1</v>
      </c>
      <c r="M498" s="0" t="n">
        <v>1</v>
      </c>
      <c r="N498" s="0" t="n">
        <v>2</v>
      </c>
      <c r="O498" s="0" t="n">
        <f aca="false">SUM(K498:N498)</f>
        <v>5</v>
      </c>
      <c r="P498" s="0" t="str">
        <f aca="false">IF(O498&gt;=15,"Yes","No")</f>
        <v>No</v>
      </c>
      <c r="Q498" s="0" t="s">
        <v>159</v>
      </c>
      <c r="R498" s="2" t="n">
        <v>851000</v>
      </c>
      <c r="S498" s="3" t="n">
        <v>0.05</v>
      </c>
      <c r="T498" s="2" t="n">
        <f aca="false">R498*S498</f>
        <v>42550</v>
      </c>
      <c r="U498" s="4" t="s">
        <v>1531</v>
      </c>
    </row>
    <row r="499" customFormat="false" ht="15" hidden="false" customHeight="false" outlineLevel="0" collapsed="false">
      <c r="A499" s="0" t="s">
        <v>1532</v>
      </c>
      <c r="B499" s="0" t="s">
        <v>342</v>
      </c>
      <c r="C499" s="0" t="s">
        <v>129</v>
      </c>
      <c r="D499" s="0" t="s">
        <v>27</v>
      </c>
      <c r="E499" s="0" t="s">
        <v>92</v>
      </c>
      <c r="F499" s="0" t="s">
        <v>153</v>
      </c>
      <c r="G499" s="0" t="s">
        <v>1254</v>
      </c>
      <c r="H499" s="0" t="s">
        <v>86</v>
      </c>
      <c r="I499" s="0" t="s">
        <v>962</v>
      </c>
      <c r="J499" s="0" t="s">
        <v>45</v>
      </c>
      <c r="K499" s="0" t="n">
        <v>2</v>
      </c>
      <c r="L499" s="0" t="n">
        <v>1</v>
      </c>
      <c r="M499" s="0" t="n">
        <v>1</v>
      </c>
      <c r="N499" s="0" t="n">
        <v>2</v>
      </c>
      <c r="O499" s="0" t="n">
        <f aca="false">SUM(K499:N499)</f>
        <v>6</v>
      </c>
      <c r="P499" s="0" t="str">
        <f aca="false">IF(O499&gt;=15,"Yes","No")</f>
        <v>No</v>
      </c>
      <c r="Q499" s="0" t="s">
        <v>70</v>
      </c>
      <c r="R499" s="2" t="n">
        <v>245000</v>
      </c>
      <c r="S499" s="3" t="n">
        <v>0.55</v>
      </c>
      <c r="T499" s="2" t="n">
        <f aca="false">R499*S499</f>
        <v>134750</v>
      </c>
      <c r="U499" s="4" t="s">
        <v>1533</v>
      </c>
    </row>
    <row r="500" customFormat="false" ht="15" hidden="false" customHeight="false" outlineLevel="0" collapsed="false">
      <c r="A500" s="0" t="s">
        <v>1534</v>
      </c>
      <c r="B500" s="0" t="s">
        <v>965</v>
      </c>
      <c r="C500" s="0" t="s">
        <v>26</v>
      </c>
      <c r="D500" s="0" t="s">
        <v>53</v>
      </c>
      <c r="E500" s="0" t="s">
        <v>136</v>
      </c>
      <c r="F500" s="0" t="s">
        <v>112</v>
      </c>
      <c r="G500" s="0" t="s">
        <v>966</v>
      </c>
      <c r="H500" s="0" t="s">
        <v>86</v>
      </c>
      <c r="I500" s="0" t="s">
        <v>962</v>
      </c>
      <c r="J500" s="0" t="s">
        <v>33</v>
      </c>
      <c r="K500" s="0" t="n">
        <v>2</v>
      </c>
      <c r="L500" s="0" t="n">
        <v>2</v>
      </c>
      <c r="M500" s="0" t="n">
        <v>1</v>
      </c>
      <c r="N500" s="0" t="n">
        <v>1</v>
      </c>
      <c r="O500" s="0" t="n">
        <f aca="false">SUM(K500:N500)</f>
        <v>6</v>
      </c>
      <c r="P500" s="0" t="str">
        <f aca="false">IF(O500&gt;=15,"Yes","No")</f>
        <v>No</v>
      </c>
      <c r="Q500" s="0" t="s">
        <v>60</v>
      </c>
      <c r="R500" s="2" t="n">
        <v>763000</v>
      </c>
      <c r="S500" s="3" t="n">
        <v>0.15</v>
      </c>
      <c r="T500" s="2" t="n">
        <f aca="false">R500*S500</f>
        <v>114450</v>
      </c>
      <c r="U500" s="4" t="s">
        <v>211</v>
      </c>
    </row>
    <row r="501" customFormat="false" ht="15" hidden="false" customHeight="false" outlineLevel="0" collapsed="false">
      <c r="A501" s="0" t="s">
        <v>1535</v>
      </c>
      <c r="B501" s="0" t="s">
        <v>220</v>
      </c>
      <c r="C501" s="0" t="s">
        <v>39</v>
      </c>
      <c r="D501" s="0" t="s">
        <v>53</v>
      </c>
      <c r="E501" s="0" t="s">
        <v>136</v>
      </c>
      <c r="F501" s="0" t="s">
        <v>55</v>
      </c>
      <c r="G501" s="0" t="s">
        <v>221</v>
      </c>
      <c r="H501" s="0" t="s">
        <v>86</v>
      </c>
      <c r="I501" s="0" t="s">
        <v>1198</v>
      </c>
      <c r="J501" s="0" t="s">
        <v>33</v>
      </c>
      <c r="K501" s="0" t="n">
        <v>2</v>
      </c>
      <c r="L501" s="0" t="n">
        <v>1</v>
      </c>
      <c r="M501" s="0" t="n">
        <v>1</v>
      </c>
      <c r="N501" s="0" t="n">
        <v>2</v>
      </c>
      <c r="O501" s="0" t="n">
        <f aca="false">SUM(K501:N501)</f>
        <v>6</v>
      </c>
      <c r="P501" s="0" t="str">
        <f aca="false">IF(O501&gt;=15,"Yes","No")</f>
        <v>No</v>
      </c>
      <c r="Q501" s="0" t="s">
        <v>60</v>
      </c>
      <c r="R501" s="2" t="n">
        <v>575000</v>
      </c>
      <c r="S501" s="3" t="n">
        <v>0.15</v>
      </c>
      <c r="T501" s="2" t="n">
        <f aca="false">R501*S501</f>
        <v>86250</v>
      </c>
      <c r="U501" s="4" t="s">
        <v>1163</v>
      </c>
    </row>
    <row r="502" customFormat="false" ht="15" hidden="false" customHeight="false" outlineLevel="0" collapsed="false">
      <c r="A502" s="0" t="s">
        <v>1536</v>
      </c>
      <c r="B502" s="0" t="s">
        <v>1537</v>
      </c>
      <c r="C502" s="0" t="s">
        <v>74</v>
      </c>
      <c r="D502" s="0" t="s">
        <v>27</v>
      </c>
      <c r="E502" s="0" t="s">
        <v>54</v>
      </c>
      <c r="F502" s="0" t="s">
        <v>75</v>
      </c>
      <c r="G502" s="0" t="s">
        <v>1065</v>
      </c>
      <c r="H502" s="0" t="s">
        <v>67</v>
      </c>
      <c r="I502" s="0" t="s">
        <v>653</v>
      </c>
      <c r="J502" s="0" t="s">
        <v>78</v>
      </c>
      <c r="K502" s="0" t="n">
        <v>3</v>
      </c>
      <c r="L502" s="0" t="n">
        <v>3</v>
      </c>
      <c r="M502" s="0" t="n">
        <v>5</v>
      </c>
      <c r="N502" s="0" t="n">
        <v>4</v>
      </c>
      <c r="O502" s="0" t="n">
        <f aca="false">SUM(K502:N502)</f>
        <v>15</v>
      </c>
      <c r="P502" s="0" t="str">
        <f aca="false">IF(O502&gt;=15,"Yes","No")</f>
        <v>Yes</v>
      </c>
      <c r="Q502" s="0" t="s">
        <v>46</v>
      </c>
      <c r="R502" s="2" t="n">
        <v>187000</v>
      </c>
      <c r="S502" s="3" t="n">
        <v>0</v>
      </c>
      <c r="T502" s="2" t="n">
        <f aca="false">R502*S502</f>
        <v>0</v>
      </c>
      <c r="U502" s="4" t="s">
        <v>1538</v>
      </c>
      <c r="V502" s="4" t="s">
        <v>197</v>
      </c>
      <c r="W502" s="0" t="n">
        <v>42</v>
      </c>
      <c r="X502" s="4" t="s">
        <v>49</v>
      </c>
    </row>
    <row r="503" customFormat="false" ht="15" hidden="false" customHeight="false" outlineLevel="0" collapsed="false">
      <c r="A503" s="0" t="s">
        <v>1539</v>
      </c>
      <c r="B503" s="0" t="s">
        <v>1025</v>
      </c>
      <c r="C503" s="0" t="s">
        <v>129</v>
      </c>
      <c r="D503" s="0" t="s">
        <v>53</v>
      </c>
      <c r="E503" s="0" t="s">
        <v>178</v>
      </c>
      <c r="F503" s="0" t="s">
        <v>29</v>
      </c>
      <c r="G503" s="0" t="s">
        <v>526</v>
      </c>
      <c r="H503" s="0" t="s">
        <v>67</v>
      </c>
      <c r="I503" s="0" t="s">
        <v>1540</v>
      </c>
      <c r="J503" s="0" t="s">
        <v>78</v>
      </c>
      <c r="K503" s="0" t="n">
        <v>3</v>
      </c>
      <c r="L503" s="0" t="n">
        <v>3</v>
      </c>
      <c r="M503" s="0" t="n">
        <v>1</v>
      </c>
      <c r="N503" s="0" t="n">
        <v>5</v>
      </c>
      <c r="O503" s="0" t="n">
        <f aca="false">SUM(K503:N503)</f>
        <v>12</v>
      </c>
      <c r="P503" s="0" t="str">
        <f aca="false">IF(O503&gt;=15,"Yes","No")</f>
        <v>No</v>
      </c>
      <c r="Q503" s="0" t="s">
        <v>46</v>
      </c>
      <c r="R503" s="2" t="n">
        <v>850000</v>
      </c>
      <c r="S503" s="3" t="n">
        <v>0</v>
      </c>
      <c r="T503" s="2" t="n">
        <f aca="false">R503*S503</f>
        <v>0</v>
      </c>
      <c r="U503" s="4" t="s">
        <v>724</v>
      </c>
      <c r="V503" s="4" t="s">
        <v>466</v>
      </c>
      <c r="W503" s="0" t="n">
        <v>22</v>
      </c>
      <c r="X503" s="4" t="s">
        <v>310</v>
      </c>
    </row>
    <row r="504" customFormat="false" ht="15" hidden="false" customHeight="false" outlineLevel="0" collapsed="false">
      <c r="A504" s="0" t="s">
        <v>1541</v>
      </c>
      <c r="B504" s="0" t="s">
        <v>1324</v>
      </c>
      <c r="C504" s="0" t="s">
        <v>152</v>
      </c>
      <c r="D504" s="0" t="s">
        <v>53</v>
      </c>
      <c r="E504" s="0" t="s">
        <v>28</v>
      </c>
      <c r="F504" s="0" t="s">
        <v>55</v>
      </c>
      <c r="G504" s="0" t="s">
        <v>770</v>
      </c>
      <c r="H504" s="0" t="s">
        <v>86</v>
      </c>
      <c r="I504" s="0" t="s">
        <v>139</v>
      </c>
      <c r="J504" s="0" t="s">
        <v>33</v>
      </c>
      <c r="K504" s="0" t="n">
        <v>1</v>
      </c>
      <c r="L504" s="0" t="n">
        <v>1</v>
      </c>
      <c r="M504" s="0" t="n">
        <v>2</v>
      </c>
      <c r="N504" s="0" t="n">
        <v>1</v>
      </c>
      <c r="O504" s="0" t="n">
        <f aca="false">SUM(K504:N504)</f>
        <v>5</v>
      </c>
      <c r="P504" s="0" t="str">
        <f aca="false">IF(O504&gt;=15,"Yes","No")</f>
        <v>No</v>
      </c>
      <c r="Q504" s="0" t="s">
        <v>60</v>
      </c>
      <c r="R504" s="2" t="n">
        <v>521000</v>
      </c>
      <c r="S504" s="3" t="n">
        <v>0.15</v>
      </c>
      <c r="T504" s="2" t="n">
        <f aca="false">R504*S504</f>
        <v>78150</v>
      </c>
      <c r="U504" s="4" t="s">
        <v>927</v>
      </c>
    </row>
    <row r="505" customFormat="false" ht="15" hidden="false" customHeight="false" outlineLevel="0" collapsed="false">
      <c r="A505" s="0" t="s">
        <v>1542</v>
      </c>
      <c r="B505" s="0" t="s">
        <v>141</v>
      </c>
      <c r="C505" s="0" t="s">
        <v>74</v>
      </c>
      <c r="D505" s="0" t="s">
        <v>27</v>
      </c>
      <c r="E505" s="0" t="s">
        <v>92</v>
      </c>
      <c r="F505" s="0" t="s">
        <v>179</v>
      </c>
      <c r="G505" s="0" t="s">
        <v>1543</v>
      </c>
      <c r="H505" s="0" t="s">
        <v>67</v>
      </c>
      <c r="I505" s="0" t="s">
        <v>451</v>
      </c>
      <c r="J505" s="0" t="s">
        <v>33</v>
      </c>
      <c r="K505" s="0" t="n">
        <v>3</v>
      </c>
      <c r="L505" s="0" t="n">
        <v>4</v>
      </c>
      <c r="M505" s="0" t="n">
        <v>4</v>
      </c>
      <c r="N505" s="0" t="n">
        <v>1</v>
      </c>
      <c r="O505" s="0" t="n">
        <f aca="false">SUM(K505:N505)</f>
        <v>12</v>
      </c>
      <c r="P505" s="0" t="str">
        <f aca="false">IF(O505&gt;=15,"Yes","No")</f>
        <v>No</v>
      </c>
      <c r="Q505" s="0" t="s">
        <v>34</v>
      </c>
      <c r="R505" s="2" t="n">
        <v>250000</v>
      </c>
      <c r="S505" s="3" t="n">
        <v>1</v>
      </c>
      <c r="T505" s="2" t="n">
        <f aca="false">R505*S505</f>
        <v>250000</v>
      </c>
      <c r="U505" s="4" t="s">
        <v>696</v>
      </c>
      <c r="V505" s="4" t="s">
        <v>1544</v>
      </c>
      <c r="W505" s="0" t="n">
        <v>28</v>
      </c>
    </row>
    <row r="506" customFormat="false" ht="15" hidden="false" customHeight="false" outlineLevel="0" collapsed="false">
      <c r="A506" s="0" t="s">
        <v>1545</v>
      </c>
      <c r="B506" s="0" t="s">
        <v>1371</v>
      </c>
      <c r="C506" s="0" t="s">
        <v>52</v>
      </c>
      <c r="D506" s="0" t="s">
        <v>64</v>
      </c>
      <c r="E506" s="0" t="s">
        <v>54</v>
      </c>
      <c r="F506" s="0" t="s">
        <v>41</v>
      </c>
      <c r="G506" s="0" t="s">
        <v>1546</v>
      </c>
      <c r="H506" s="0" t="s">
        <v>57</v>
      </c>
      <c r="I506" s="0" t="s">
        <v>695</v>
      </c>
      <c r="J506" s="0" t="s">
        <v>45</v>
      </c>
      <c r="K506" s="0" t="n">
        <v>1</v>
      </c>
      <c r="L506" s="0" t="n">
        <v>4</v>
      </c>
      <c r="M506" s="0" t="n">
        <v>3</v>
      </c>
      <c r="N506" s="0" t="n">
        <v>3</v>
      </c>
      <c r="O506" s="0" t="n">
        <f aca="false">SUM(K506:N506)</f>
        <v>11</v>
      </c>
      <c r="P506" s="0" t="str">
        <f aca="false">IF(O506&gt;=15,"Yes","No")</f>
        <v>No</v>
      </c>
      <c r="Q506" s="0" t="s">
        <v>159</v>
      </c>
      <c r="R506" s="2" t="n">
        <v>2632000</v>
      </c>
      <c r="S506" s="3" t="n">
        <v>0.05</v>
      </c>
      <c r="T506" s="2" t="n">
        <f aca="false">R506*S506</f>
        <v>131600</v>
      </c>
      <c r="U506" s="4" t="s">
        <v>1090</v>
      </c>
    </row>
    <row r="507" customFormat="false" ht="15" hidden="false" customHeight="false" outlineLevel="0" collapsed="false">
      <c r="A507" s="0" t="s">
        <v>1547</v>
      </c>
      <c r="B507" s="0" t="s">
        <v>312</v>
      </c>
      <c r="C507" s="0" t="s">
        <v>129</v>
      </c>
      <c r="D507" s="0" t="s">
        <v>27</v>
      </c>
      <c r="E507" s="0" t="s">
        <v>178</v>
      </c>
      <c r="F507" s="0" t="s">
        <v>29</v>
      </c>
      <c r="G507" s="0" t="s">
        <v>1427</v>
      </c>
      <c r="H507" s="0" t="s">
        <v>43</v>
      </c>
      <c r="I507" s="0" t="s">
        <v>805</v>
      </c>
      <c r="J507" s="0" t="s">
        <v>59</v>
      </c>
      <c r="K507" s="0" t="n">
        <v>3</v>
      </c>
      <c r="L507" s="0" t="n">
        <v>2</v>
      </c>
      <c r="M507" s="0" t="n">
        <v>3</v>
      </c>
      <c r="N507" s="0" t="n">
        <v>2</v>
      </c>
      <c r="O507" s="0" t="n">
        <f aca="false">SUM(K507:N507)</f>
        <v>10</v>
      </c>
      <c r="P507" s="0" t="str">
        <f aca="false">IF(O507&gt;=15,"Yes","No")</f>
        <v>No</v>
      </c>
      <c r="Q507" s="0" t="s">
        <v>60</v>
      </c>
      <c r="R507" s="2" t="n">
        <v>244000</v>
      </c>
      <c r="S507" s="3" t="n">
        <v>0.15</v>
      </c>
      <c r="T507" s="2" t="n">
        <f aca="false">R507*S507</f>
        <v>36600</v>
      </c>
      <c r="U507" s="4" t="s">
        <v>771</v>
      </c>
    </row>
    <row r="508" customFormat="false" ht="15" hidden="false" customHeight="false" outlineLevel="0" collapsed="false">
      <c r="A508" s="0" t="s">
        <v>1548</v>
      </c>
      <c r="B508" s="0" t="s">
        <v>1401</v>
      </c>
      <c r="C508" s="0" t="s">
        <v>129</v>
      </c>
      <c r="D508" s="0" t="s">
        <v>27</v>
      </c>
      <c r="E508" s="0" t="s">
        <v>28</v>
      </c>
      <c r="F508" s="0" t="s">
        <v>41</v>
      </c>
      <c r="G508" s="0" t="s">
        <v>1549</v>
      </c>
      <c r="H508" s="0" t="s">
        <v>57</v>
      </c>
      <c r="I508" s="0" t="s">
        <v>834</v>
      </c>
      <c r="J508" s="0" t="s">
        <v>33</v>
      </c>
      <c r="K508" s="0" t="n">
        <v>2</v>
      </c>
      <c r="L508" s="0" t="n">
        <v>1</v>
      </c>
      <c r="M508" s="0" t="n">
        <v>1</v>
      </c>
      <c r="N508" s="0" t="n">
        <v>3</v>
      </c>
      <c r="O508" s="0" t="n">
        <f aca="false">SUM(K508:N508)</f>
        <v>7</v>
      </c>
      <c r="P508" s="0" t="str">
        <f aca="false">IF(O508&gt;=15,"Yes","No")</f>
        <v>No</v>
      </c>
      <c r="Q508" s="0" t="s">
        <v>46</v>
      </c>
      <c r="R508" s="2" t="n">
        <v>205000</v>
      </c>
      <c r="S508" s="3" t="n">
        <v>0</v>
      </c>
      <c r="T508" s="2" t="n">
        <f aca="false">R508*S508</f>
        <v>0</v>
      </c>
      <c r="U508" s="4" t="s">
        <v>1530</v>
      </c>
      <c r="V508" s="4" t="s">
        <v>1007</v>
      </c>
      <c r="W508" s="0" t="n">
        <v>18</v>
      </c>
      <c r="X508" s="4" t="s">
        <v>326</v>
      </c>
    </row>
    <row r="509" customFormat="false" ht="15" hidden="false" customHeight="false" outlineLevel="0" collapsed="false">
      <c r="A509" s="0" t="s">
        <v>1550</v>
      </c>
      <c r="B509" s="0" t="s">
        <v>252</v>
      </c>
      <c r="C509" s="0" t="s">
        <v>26</v>
      </c>
      <c r="D509" s="0" t="s">
        <v>64</v>
      </c>
      <c r="E509" s="0" t="s">
        <v>99</v>
      </c>
      <c r="F509" s="0" t="s">
        <v>130</v>
      </c>
      <c r="G509" s="0" t="s">
        <v>1482</v>
      </c>
      <c r="H509" s="0" t="s">
        <v>67</v>
      </c>
      <c r="I509" s="0" t="s">
        <v>816</v>
      </c>
      <c r="J509" s="0" t="s">
        <v>33</v>
      </c>
      <c r="K509" s="0" t="n">
        <v>4</v>
      </c>
      <c r="L509" s="0" t="n">
        <v>3</v>
      </c>
      <c r="M509" s="0" t="n">
        <v>3</v>
      </c>
      <c r="N509" s="0" t="n">
        <v>4</v>
      </c>
      <c r="O509" s="0" t="n">
        <f aca="false">SUM(K509:N509)</f>
        <v>14</v>
      </c>
      <c r="P509" s="0" t="str">
        <f aca="false">IF(O509&gt;=15,"Yes","No")</f>
        <v>No</v>
      </c>
      <c r="Q509" s="0" t="s">
        <v>159</v>
      </c>
      <c r="R509" s="2" t="n">
        <v>2734000</v>
      </c>
      <c r="S509" s="3" t="n">
        <v>0.05</v>
      </c>
      <c r="T509" s="2" t="n">
        <f aca="false">R509*S509</f>
        <v>136700</v>
      </c>
      <c r="U509" s="4" t="s">
        <v>288</v>
      </c>
    </row>
    <row r="510" customFormat="false" ht="15" hidden="false" customHeight="false" outlineLevel="0" collapsed="false">
      <c r="A510" s="0" t="s">
        <v>1551</v>
      </c>
      <c r="B510" s="0" t="s">
        <v>965</v>
      </c>
      <c r="C510" s="0" t="s">
        <v>74</v>
      </c>
      <c r="D510" s="0" t="s">
        <v>27</v>
      </c>
      <c r="E510" s="0" t="s">
        <v>105</v>
      </c>
      <c r="F510" s="0" t="s">
        <v>41</v>
      </c>
      <c r="G510" s="0" t="s">
        <v>1552</v>
      </c>
      <c r="H510" s="0" t="s">
        <v>248</v>
      </c>
      <c r="I510" s="0" t="s">
        <v>531</v>
      </c>
      <c r="J510" s="0" t="s">
        <v>33</v>
      </c>
      <c r="K510" s="0" t="n">
        <v>3</v>
      </c>
      <c r="L510" s="0" t="n">
        <v>3</v>
      </c>
      <c r="M510" s="0" t="n">
        <v>3</v>
      </c>
      <c r="N510" s="0" t="n">
        <v>5</v>
      </c>
      <c r="O510" s="0" t="n">
        <f aca="false">SUM(K510:N510)</f>
        <v>14</v>
      </c>
      <c r="P510" s="0" t="str">
        <f aca="false">IF(O510&gt;=15,"Yes","No")</f>
        <v>No</v>
      </c>
      <c r="Q510" s="0" t="s">
        <v>46</v>
      </c>
      <c r="R510" s="2" t="n">
        <v>180000</v>
      </c>
      <c r="S510" s="3" t="n">
        <v>0</v>
      </c>
      <c r="T510" s="2" t="n">
        <f aca="false">R510*S510</f>
        <v>0</v>
      </c>
      <c r="U510" s="4" t="s">
        <v>665</v>
      </c>
      <c r="V510" s="4" t="s">
        <v>810</v>
      </c>
      <c r="W510" s="0" t="n">
        <v>41</v>
      </c>
      <c r="X510" s="4" t="s">
        <v>326</v>
      </c>
    </row>
    <row r="511" customFormat="false" ht="15" hidden="false" customHeight="false" outlineLevel="0" collapsed="false">
      <c r="A511" s="0" t="s">
        <v>1553</v>
      </c>
      <c r="B511" s="0" t="s">
        <v>854</v>
      </c>
      <c r="C511" s="0" t="s">
        <v>26</v>
      </c>
      <c r="D511" s="0" t="s">
        <v>53</v>
      </c>
      <c r="E511" s="0" t="s">
        <v>178</v>
      </c>
      <c r="F511" s="0" t="s">
        <v>55</v>
      </c>
      <c r="G511" s="0" t="s">
        <v>1311</v>
      </c>
      <c r="H511" s="0" t="s">
        <v>67</v>
      </c>
      <c r="I511" s="0" t="s">
        <v>207</v>
      </c>
      <c r="J511" s="0" t="s">
        <v>33</v>
      </c>
      <c r="K511" s="0" t="n">
        <v>2</v>
      </c>
      <c r="L511" s="0" t="n">
        <v>1</v>
      </c>
      <c r="M511" s="0" t="n">
        <v>5</v>
      </c>
      <c r="N511" s="0" t="n">
        <v>4</v>
      </c>
      <c r="O511" s="0" t="n">
        <f aca="false">SUM(K511:N511)</f>
        <v>12</v>
      </c>
      <c r="P511" s="0" t="str">
        <f aca="false">IF(O511&gt;=15,"Yes","No")</f>
        <v>No</v>
      </c>
      <c r="Q511" s="0" t="s">
        <v>46</v>
      </c>
      <c r="R511" s="2" t="n">
        <v>788000</v>
      </c>
      <c r="S511" s="3" t="n">
        <v>0</v>
      </c>
      <c r="T511" s="2" t="n">
        <f aca="false">R511*S511</f>
        <v>0</v>
      </c>
      <c r="U511" s="4" t="s">
        <v>1554</v>
      </c>
      <c r="V511" s="4" t="s">
        <v>1217</v>
      </c>
      <c r="W511" s="0" t="n">
        <v>20</v>
      </c>
      <c r="X511" s="4" t="s">
        <v>326</v>
      </c>
    </row>
    <row r="512" customFormat="false" ht="15" hidden="false" customHeight="false" outlineLevel="0" collapsed="false">
      <c r="A512" s="0" t="s">
        <v>1555</v>
      </c>
      <c r="B512" s="0" t="s">
        <v>968</v>
      </c>
      <c r="C512" s="0" t="s">
        <v>74</v>
      </c>
      <c r="D512" s="0" t="s">
        <v>64</v>
      </c>
      <c r="E512" s="0" t="s">
        <v>40</v>
      </c>
      <c r="F512" s="0" t="s">
        <v>75</v>
      </c>
      <c r="G512" s="0" t="s">
        <v>1556</v>
      </c>
      <c r="H512" s="0" t="s">
        <v>86</v>
      </c>
      <c r="I512" s="0" t="s">
        <v>869</v>
      </c>
      <c r="J512" s="0" t="s">
        <v>33</v>
      </c>
      <c r="K512" s="0" t="n">
        <v>2</v>
      </c>
      <c r="L512" s="0" t="n">
        <v>3</v>
      </c>
      <c r="M512" s="0" t="n">
        <v>4</v>
      </c>
      <c r="N512" s="0" t="n">
        <v>2</v>
      </c>
      <c r="O512" s="0" t="n">
        <f aca="false">SUM(K512:N512)</f>
        <v>11</v>
      </c>
      <c r="P512" s="0" t="str">
        <f aca="false">IF(O512&gt;=15,"Yes","No")</f>
        <v>No</v>
      </c>
      <c r="Q512" s="0" t="s">
        <v>46</v>
      </c>
      <c r="R512" s="2" t="n">
        <v>2655000</v>
      </c>
      <c r="S512" s="3" t="n">
        <v>0</v>
      </c>
      <c r="T512" s="2" t="n">
        <f aca="false">R512*S512</f>
        <v>0</v>
      </c>
      <c r="U512" s="4" t="s">
        <v>1484</v>
      </c>
      <c r="V512" s="4" t="s">
        <v>756</v>
      </c>
      <c r="W512" s="0" t="n">
        <v>14</v>
      </c>
      <c r="X512" s="4" t="s">
        <v>443</v>
      </c>
    </row>
    <row r="513" customFormat="false" ht="15" hidden="false" customHeight="false" outlineLevel="0" collapsed="false">
      <c r="A513" s="0" t="s">
        <v>1557</v>
      </c>
      <c r="B513" s="0" t="s">
        <v>200</v>
      </c>
      <c r="C513" s="0" t="s">
        <v>152</v>
      </c>
      <c r="D513" s="0" t="s">
        <v>64</v>
      </c>
      <c r="E513" s="0" t="s">
        <v>215</v>
      </c>
      <c r="F513" s="0" t="s">
        <v>179</v>
      </c>
      <c r="G513" s="0" t="s">
        <v>1558</v>
      </c>
      <c r="H513" s="0" t="s">
        <v>57</v>
      </c>
      <c r="I513" s="0" t="s">
        <v>1559</v>
      </c>
      <c r="J513" s="0" t="s">
        <v>59</v>
      </c>
      <c r="K513" s="0" t="n">
        <v>2</v>
      </c>
      <c r="L513" s="0" t="n">
        <v>3</v>
      </c>
      <c r="M513" s="0" t="n">
        <v>2</v>
      </c>
      <c r="N513" s="0" t="n">
        <v>3</v>
      </c>
      <c r="O513" s="0" t="n">
        <f aca="false">SUM(K513:N513)</f>
        <v>10</v>
      </c>
      <c r="P513" s="0" t="str">
        <f aca="false">IF(O513&gt;=15,"Yes","No")</f>
        <v>No</v>
      </c>
      <c r="Q513" s="0" t="s">
        <v>70</v>
      </c>
      <c r="R513" s="2" t="n">
        <v>1675000</v>
      </c>
      <c r="S513" s="3" t="n">
        <v>0.55</v>
      </c>
      <c r="T513" s="2" t="n">
        <f aca="false">R513*S513</f>
        <v>921250</v>
      </c>
      <c r="U513" s="4" t="s">
        <v>896</v>
      </c>
    </row>
    <row r="514" customFormat="false" ht="15" hidden="false" customHeight="false" outlineLevel="0" collapsed="false">
      <c r="A514" s="0" t="s">
        <v>1560</v>
      </c>
      <c r="B514" s="0" t="s">
        <v>538</v>
      </c>
      <c r="C514" s="0" t="s">
        <v>26</v>
      </c>
      <c r="D514" s="0" t="s">
        <v>53</v>
      </c>
      <c r="E514" s="0" t="s">
        <v>136</v>
      </c>
      <c r="F514" s="0" t="s">
        <v>153</v>
      </c>
      <c r="G514" s="0" t="s">
        <v>1429</v>
      </c>
      <c r="H514" s="0" t="s">
        <v>57</v>
      </c>
      <c r="I514" s="0" t="s">
        <v>1044</v>
      </c>
      <c r="J514" s="0" t="s">
        <v>33</v>
      </c>
      <c r="K514" s="0" t="n">
        <v>1</v>
      </c>
      <c r="L514" s="0" t="n">
        <v>3</v>
      </c>
      <c r="M514" s="0" t="n">
        <v>2</v>
      </c>
      <c r="N514" s="0" t="n">
        <v>3</v>
      </c>
      <c r="O514" s="0" t="n">
        <f aca="false">SUM(K514:N514)</f>
        <v>9</v>
      </c>
      <c r="P514" s="0" t="str">
        <f aca="false">IF(O514&gt;=15,"Yes","No")</f>
        <v>No</v>
      </c>
      <c r="Q514" s="0" t="s">
        <v>60</v>
      </c>
      <c r="R514" s="2" t="n">
        <v>637000</v>
      </c>
      <c r="S514" s="3" t="n">
        <v>0.15</v>
      </c>
      <c r="T514" s="2" t="n">
        <f aca="false">R514*S514</f>
        <v>95550</v>
      </c>
      <c r="U514" s="4" t="s">
        <v>485</v>
      </c>
    </row>
    <row r="515" customFormat="false" ht="15" hidden="false" customHeight="false" outlineLevel="0" collapsed="false">
      <c r="A515" s="0" t="s">
        <v>1561</v>
      </c>
      <c r="B515" s="0" t="s">
        <v>1109</v>
      </c>
      <c r="C515" s="0" t="s">
        <v>152</v>
      </c>
      <c r="D515" s="0" t="s">
        <v>64</v>
      </c>
      <c r="E515" s="0" t="s">
        <v>40</v>
      </c>
      <c r="F515" s="0" t="s">
        <v>55</v>
      </c>
      <c r="G515" s="0" t="s">
        <v>1562</v>
      </c>
      <c r="H515" s="0" t="s">
        <v>67</v>
      </c>
      <c r="I515" s="0" t="s">
        <v>895</v>
      </c>
      <c r="J515" s="0" t="s">
        <v>59</v>
      </c>
      <c r="K515" s="0" t="n">
        <v>3</v>
      </c>
      <c r="L515" s="0" t="n">
        <v>4</v>
      </c>
      <c r="M515" s="0" t="n">
        <v>4</v>
      </c>
      <c r="N515" s="0" t="n">
        <v>2</v>
      </c>
      <c r="O515" s="0" t="n">
        <f aca="false">SUM(K515:N515)</f>
        <v>13</v>
      </c>
      <c r="P515" s="0" t="str">
        <f aca="false">IF(O515&gt;=15,"Yes","No")</f>
        <v>No</v>
      </c>
      <c r="Q515" s="0" t="s">
        <v>46</v>
      </c>
      <c r="R515" s="2" t="n">
        <v>2995000</v>
      </c>
      <c r="S515" s="3" t="n">
        <v>0</v>
      </c>
      <c r="T515" s="2" t="n">
        <f aca="false">R515*S515</f>
        <v>0</v>
      </c>
      <c r="U515" s="4" t="s">
        <v>1265</v>
      </c>
      <c r="V515" s="4" t="s">
        <v>237</v>
      </c>
      <c r="W515" s="0" t="n">
        <v>26</v>
      </c>
      <c r="X515" s="4" t="s">
        <v>257</v>
      </c>
    </row>
    <row r="516" customFormat="false" ht="15" hidden="false" customHeight="false" outlineLevel="0" collapsed="false">
      <c r="A516" s="0" t="s">
        <v>1563</v>
      </c>
      <c r="B516" s="0" t="s">
        <v>1022</v>
      </c>
      <c r="C516" s="0" t="s">
        <v>26</v>
      </c>
      <c r="D516" s="0" t="s">
        <v>53</v>
      </c>
      <c r="E516" s="0" t="s">
        <v>215</v>
      </c>
      <c r="F516" s="0" t="s">
        <v>75</v>
      </c>
      <c r="G516" s="0" t="s">
        <v>1444</v>
      </c>
      <c r="H516" s="0" t="s">
        <v>67</v>
      </c>
      <c r="I516" s="0" t="s">
        <v>1564</v>
      </c>
      <c r="J516" s="0" t="s">
        <v>78</v>
      </c>
      <c r="K516" s="0" t="n">
        <v>3</v>
      </c>
      <c r="L516" s="0" t="n">
        <v>4</v>
      </c>
      <c r="M516" s="0" t="n">
        <v>3</v>
      </c>
      <c r="N516" s="0" t="n">
        <v>3</v>
      </c>
      <c r="O516" s="0" t="n">
        <f aca="false">SUM(K516:N516)</f>
        <v>13</v>
      </c>
      <c r="P516" s="0" t="str">
        <f aca="false">IF(O516&gt;=15,"Yes","No")</f>
        <v>No</v>
      </c>
      <c r="Q516" s="0" t="s">
        <v>46</v>
      </c>
      <c r="R516" s="2" t="n">
        <v>593000</v>
      </c>
      <c r="S516" s="3" t="n">
        <v>0</v>
      </c>
      <c r="T516" s="2" t="n">
        <f aca="false">R516*S516</f>
        <v>0</v>
      </c>
      <c r="U516" s="4" t="s">
        <v>816</v>
      </c>
      <c r="V516" s="4" t="s">
        <v>272</v>
      </c>
      <c r="W516" s="0" t="n">
        <v>25</v>
      </c>
      <c r="X516" s="4" t="s">
        <v>81</v>
      </c>
    </row>
    <row r="517" customFormat="false" ht="15" hidden="false" customHeight="false" outlineLevel="0" collapsed="false">
      <c r="A517" s="0" t="s">
        <v>1565</v>
      </c>
      <c r="B517" s="0" t="s">
        <v>655</v>
      </c>
      <c r="C517" s="0" t="s">
        <v>74</v>
      </c>
      <c r="D517" s="0" t="s">
        <v>27</v>
      </c>
      <c r="E517" s="0" t="s">
        <v>119</v>
      </c>
      <c r="F517" s="0" t="s">
        <v>29</v>
      </c>
      <c r="G517" s="0" t="s">
        <v>1566</v>
      </c>
      <c r="H517" s="0" t="s">
        <v>86</v>
      </c>
      <c r="I517" s="0" t="s">
        <v>726</v>
      </c>
      <c r="J517" s="0" t="s">
        <v>33</v>
      </c>
      <c r="K517" s="0" t="n">
        <v>2</v>
      </c>
      <c r="L517" s="0" t="n">
        <v>2</v>
      </c>
      <c r="M517" s="0" t="n">
        <v>1</v>
      </c>
      <c r="N517" s="0" t="n">
        <v>1</v>
      </c>
      <c r="O517" s="0" t="n">
        <f aca="false">SUM(K517:N517)</f>
        <v>6</v>
      </c>
      <c r="P517" s="0" t="str">
        <f aca="false">IF(O517&gt;=15,"Yes","No")</f>
        <v>No</v>
      </c>
      <c r="Q517" s="0" t="s">
        <v>60</v>
      </c>
      <c r="R517" s="2" t="n">
        <v>158000</v>
      </c>
      <c r="S517" s="3" t="n">
        <v>0.15</v>
      </c>
      <c r="T517" s="2" t="n">
        <f aca="false">R517*S517</f>
        <v>23700</v>
      </c>
      <c r="U517" s="4" t="s">
        <v>207</v>
      </c>
    </row>
    <row r="518" customFormat="false" ht="15" hidden="false" customHeight="false" outlineLevel="0" collapsed="false">
      <c r="A518" s="0" t="s">
        <v>1567</v>
      </c>
      <c r="B518" s="0" t="s">
        <v>235</v>
      </c>
      <c r="C518" s="0" t="s">
        <v>74</v>
      </c>
      <c r="D518" s="0" t="s">
        <v>27</v>
      </c>
      <c r="E518" s="0" t="s">
        <v>322</v>
      </c>
      <c r="F518" s="0" t="s">
        <v>75</v>
      </c>
      <c r="G518" s="0" t="s">
        <v>1568</v>
      </c>
      <c r="H518" s="0" t="s">
        <v>248</v>
      </c>
      <c r="I518" s="0" t="s">
        <v>288</v>
      </c>
      <c r="J518" s="0" t="s">
        <v>45</v>
      </c>
      <c r="K518" s="0" t="n">
        <v>5</v>
      </c>
      <c r="L518" s="0" t="n">
        <v>5</v>
      </c>
      <c r="M518" s="0" t="n">
        <v>2</v>
      </c>
      <c r="N518" s="0" t="n">
        <v>1</v>
      </c>
      <c r="O518" s="0" t="n">
        <f aca="false">SUM(K518:N518)</f>
        <v>13</v>
      </c>
      <c r="P518" s="0" t="str">
        <f aca="false">IF(O518&gt;=15,"Yes","No")</f>
        <v>No</v>
      </c>
      <c r="Q518" s="0" t="s">
        <v>60</v>
      </c>
      <c r="R518" s="2" t="n">
        <v>166000</v>
      </c>
      <c r="S518" s="3" t="n">
        <v>0.15</v>
      </c>
      <c r="T518" s="2" t="n">
        <f aca="false">R518*S518</f>
        <v>24900</v>
      </c>
      <c r="U518" s="4" t="s">
        <v>420</v>
      </c>
    </row>
    <row r="519" customFormat="false" ht="15" hidden="false" customHeight="false" outlineLevel="0" collapsed="false">
      <c r="A519" s="0" t="s">
        <v>1569</v>
      </c>
      <c r="B519" s="0" t="s">
        <v>769</v>
      </c>
      <c r="C519" s="0" t="s">
        <v>74</v>
      </c>
      <c r="D519" s="0" t="s">
        <v>53</v>
      </c>
      <c r="E519" s="0" t="s">
        <v>99</v>
      </c>
      <c r="F519" s="0" t="s">
        <v>41</v>
      </c>
      <c r="G519" s="0" t="s">
        <v>923</v>
      </c>
      <c r="H519" s="0" t="s">
        <v>57</v>
      </c>
      <c r="I519" s="0" t="s">
        <v>280</v>
      </c>
      <c r="J519" s="0" t="s">
        <v>45</v>
      </c>
      <c r="K519" s="0" t="n">
        <v>2</v>
      </c>
      <c r="L519" s="0" t="n">
        <v>2</v>
      </c>
      <c r="M519" s="0" t="n">
        <v>4</v>
      </c>
      <c r="N519" s="0" t="n">
        <v>3</v>
      </c>
      <c r="O519" s="0" t="n">
        <f aca="false">SUM(K519:N519)</f>
        <v>11</v>
      </c>
      <c r="P519" s="0" t="str">
        <f aca="false">IF(O519&gt;=15,"Yes","No")</f>
        <v>No</v>
      </c>
      <c r="Q519" s="0" t="s">
        <v>46</v>
      </c>
      <c r="R519" s="2" t="n">
        <v>743000</v>
      </c>
      <c r="S519" s="3" t="n">
        <v>0</v>
      </c>
      <c r="T519" s="2" t="n">
        <f aca="false">R519*S519</f>
        <v>0</v>
      </c>
      <c r="U519" s="4" t="s">
        <v>711</v>
      </c>
      <c r="V519" s="4" t="s">
        <v>696</v>
      </c>
      <c r="W519" s="0" t="n">
        <v>38</v>
      </c>
      <c r="X519" s="4" t="s">
        <v>257</v>
      </c>
    </row>
    <row r="520" customFormat="false" ht="15" hidden="false" customHeight="false" outlineLevel="0" collapsed="false">
      <c r="A520" s="0" t="s">
        <v>1570</v>
      </c>
      <c r="B520" s="0" t="s">
        <v>438</v>
      </c>
      <c r="C520" s="0" t="s">
        <v>129</v>
      </c>
      <c r="D520" s="0" t="s">
        <v>53</v>
      </c>
      <c r="E520" s="0" t="s">
        <v>178</v>
      </c>
      <c r="F520" s="0" t="s">
        <v>55</v>
      </c>
      <c r="G520" s="0" t="s">
        <v>701</v>
      </c>
      <c r="H520" s="0" t="s">
        <v>57</v>
      </c>
      <c r="I520" s="0" t="s">
        <v>724</v>
      </c>
      <c r="J520" s="0" t="s">
        <v>33</v>
      </c>
      <c r="K520" s="0" t="n">
        <v>1</v>
      </c>
      <c r="L520" s="0" t="n">
        <v>1</v>
      </c>
      <c r="M520" s="0" t="n">
        <v>1</v>
      </c>
      <c r="N520" s="0" t="n">
        <v>3</v>
      </c>
      <c r="O520" s="0" t="n">
        <f aca="false">SUM(K520:N520)</f>
        <v>6</v>
      </c>
      <c r="P520" s="0" t="str">
        <f aca="false">IF(O520&gt;=15,"Yes","No")</f>
        <v>No</v>
      </c>
      <c r="Q520" s="0" t="s">
        <v>159</v>
      </c>
      <c r="R520" s="2" t="n">
        <v>713000</v>
      </c>
      <c r="S520" s="3" t="n">
        <v>0.05</v>
      </c>
      <c r="T520" s="2" t="n">
        <f aca="false">R520*S520</f>
        <v>35650</v>
      </c>
      <c r="U520" s="4" t="s">
        <v>1493</v>
      </c>
    </row>
    <row r="521" customFormat="false" ht="15" hidden="false" customHeight="false" outlineLevel="0" collapsed="false">
      <c r="A521" s="0" t="s">
        <v>1571</v>
      </c>
      <c r="B521" s="0" t="s">
        <v>412</v>
      </c>
      <c r="C521" s="0" t="s">
        <v>26</v>
      </c>
      <c r="D521" s="0" t="s">
        <v>27</v>
      </c>
      <c r="E521" s="0" t="s">
        <v>178</v>
      </c>
      <c r="F521" s="0" t="s">
        <v>179</v>
      </c>
      <c r="G521" s="0" t="s">
        <v>1572</v>
      </c>
      <c r="H521" s="0" t="s">
        <v>248</v>
      </c>
      <c r="I521" s="0" t="s">
        <v>1573</v>
      </c>
      <c r="J521" s="0" t="s">
        <v>45</v>
      </c>
      <c r="K521" s="0" t="n">
        <v>2</v>
      </c>
      <c r="L521" s="0" t="n">
        <v>3</v>
      </c>
      <c r="M521" s="0" t="n">
        <v>3</v>
      </c>
      <c r="N521" s="0" t="n">
        <v>3</v>
      </c>
      <c r="O521" s="0" t="n">
        <f aca="false">SUM(K521:N521)</f>
        <v>11</v>
      </c>
      <c r="P521" s="0" t="str">
        <f aca="false">IF(O521&gt;=15,"Yes","No")</f>
        <v>No</v>
      </c>
      <c r="Q521" s="0" t="s">
        <v>60</v>
      </c>
      <c r="R521" s="2" t="n">
        <v>182000</v>
      </c>
      <c r="S521" s="3" t="n">
        <v>0.15</v>
      </c>
      <c r="T521" s="2" t="n">
        <f aca="false">R521*S521</f>
        <v>27300</v>
      </c>
      <c r="U521" s="4" t="s">
        <v>1502</v>
      </c>
    </row>
    <row r="522" customFormat="false" ht="15" hidden="false" customHeight="false" outlineLevel="0" collapsed="false">
      <c r="A522" s="0" t="s">
        <v>1574</v>
      </c>
      <c r="B522" s="0" t="s">
        <v>91</v>
      </c>
      <c r="C522" s="0" t="s">
        <v>26</v>
      </c>
      <c r="D522" s="0" t="s">
        <v>27</v>
      </c>
      <c r="E522" s="0" t="s">
        <v>195</v>
      </c>
      <c r="F522" s="0" t="s">
        <v>55</v>
      </c>
      <c r="G522" s="0" t="s">
        <v>1575</v>
      </c>
      <c r="H522" s="0" t="s">
        <v>86</v>
      </c>
      <c r="I522" s="0" t="s">
        <v>325</v>
      </c>
      <c r="J522" s="0" t="s">
        <v>69</v>
      </c>
      <c r="K522" s="0" t="n">
        <v>2</v>
      </c>
      <c r="L522" s="0" t="n">
        <v>1</v>
      </c>
      <c r="M522" s="0" t="n">
        <v>1</v>
      </c>
      <c r="N522" s="0" t="n">
        <v>1</v>
      </c>
      <c r="O522" s="0" t="n">
        <f aca="false">SUM(K522:N522)</f>
        <v>5</v>
      </c>
      <c r="P522" s="0" t="str">
        <f aca="false">IF(O522&gt;=15,"Yes","No")</f>
        <v>No</v>
      </c>
      <c r="Q522" s="0" t="s">
        <v>46</v>
      </c>
      <c r="R522" s="2" t="n">
        <v>180000</v>
      </c>
      <c r="S522" s="3" t="n">
        <v>0</v>
      </c>
      <c r="T522" s="2" t="n">
        <f aca="false">R522*S522</f>
        <v>0</v>
      </c>
      <c r="U522" s="4" t="s">
        <v>1448</v>
      </c>
      <c r="V522" s="4" t="s">
        <v>186</v>
      </c>
      <c r="W522" s="0" t="n">
        <v>13</v>
      </c>
      <c r="X522" s="4" t="s">
        <v>81</v>
      </c>
    </row>
    <row r="523" customFormat="false" ht="15" hidden="false" customHeight="false" outlineLevel="0" collapsed="false">
      <c r="A523" s="0" t="s">
        <v>1576</v>
      </c>
      <c r="B523" s="0" t="s">
        <v>627</v>
      </c>
      <c r="C523" s="0" t="s">
        <v>26</v>
      </c>
      <c r="D523" s="0" t="s">
        <v>27</v>
      </c>
      <c r="E523" s="0" t="s">
        <v>215</v>
      </c>
      <c r="F523" s="0" t="s">
        <v>75</v>
      </c>
      <c r="G523" s="0" t="s">
        <v>1314</v>
      </c>
      <c r="H523" s="0" t="s">
        <v>86</v>
      </c>
      <c r="I523" s="0" t="s">
        <v>36</v>
      </c>
      <c r="J523" s="0" t="s">
        <v>59</v>
      </c>
      <c r="K523" s="0" t="n">
        <v>2</v>
      </c>
      <c r="L523" s="0" t="n">
        <v>1</v>
      </c>
      <c r="M523" s="0" t="n">
        <v>1</v>
      </c>
      <c r="N523" s="0" t="n">
        <v>1</v>
      </c>
      <c r="O523" s="0" t="n">
        <f aca="false">SUM(K523:N523)</f>
        <v>5</v>
      </c>
      <c r="P523" s="0" t="str">
        <f aca="false">IF(O523&gt;=15,"Yes","No")</f>
        <v>No</v>
      </c>
      <c r="Q523" s="0" t="s">
        <v>60</v>
      </c>
      <c r="R523" s="2" t="n">
        <v>163000</v>
      </c>
      <c r="S523" s="3" t="n">
        <v>0.15</v>
      </c>
      <c r="T523" s="2" t="n">
        <f aca="false">R523*S523</f>
        <v>24450</v>
      </c>
      <c r="U523" s="4" t="s">
        <v>280</v>
      </c>
    </row>
    <row r="524" customFormat="false" ht="15" hidden="false" customHeight="false" outlineLevel="0" collapsed="false">
      <c r="A524" s="0" t="s">
        <v>1577</v>
      </c>
      <c r="B524" s="0" t="s">
        <v>1239</v>
      </c>
      <c r="C524" s="0" t="s">
        <v>26</v>
      </c>
      <c r="D524" s="0" t="s">
        <v>53</v>
      </c>
      <c r="E524" s="0" t="s">
        <v>28</v>
      </c>
      <c r="F524" s="0" t="s">
        <v>29</v>
      </c>
      <c r="G524" s="0" t="s">
        <v>1578</v>
      </c>
      <c r="H524" s="0" t="s">
        <v>31</v>
      </c>
      <c r="I524" s="0" t="s">
        <v>296</v>
      </c>
      <c r="J524" s="0" t="s">
        <v>45</v>
      </c>
      <c r="K524" s="0" t="n">
        <v>3</v>
      </c>
      <c r="L524" s="0" t="n">
        <v>4</v>
      </c>
      <c r="M524" s="0" t="n">
        <v>5</v>
      </c>
      <c r="N524" s="0" t="n">
        <v>2</v>
      </c>
      <c r="O524" s="0" t="n">
        <f aca="false">SUM(K524:N524)</f>
        <v>14</v>
      </c>
      <c r="P524" s="0" t="str">
        <f aca="false">IF(O524&gt;=15,"Yes","No")</f>
        <v>No</v>
      </c>
      <c r="Q524" s="0" t="s">
        <v>60</v>
      </c>
      <c r="R524" s="2" t="n">
        <v>677000</v>
      </c>
      <c r="S524" s="3" t="n">
        <v>0.15</v>
      </c>
      <c r="T524" s="2" t="n">
        <f aca="false">R524*S524</f>
        <v>101550</v>
      </c>
      <c r="U524" s="4" t="s">
        <v>1579</v>
      </c>
    </row>
    <row r="525" customFormat="false" ht="15" hidden="false" customHeight="false" outlineLevel="0" collapsed="false">
      <c r="A525" s="0" t="s">
        <v>1580</v>
      </c>
      <c r="B525" s="0" t="s">
        <v>773</v>
      </c>
      <c r="C525" s="0" t="s">
        <v>152</v>
      </c>
      <c r="D525" s="0" t="s">
        <v>27</v>
      </c>
      <c r="E525" s="0" t="s">
        <v>105</v>
      </c>
      <c r="F525" s="0" t="s">
        <v>29</v>
      </c>
      <c r="G525" s="0" t="s">
        <v>106</v>
      </c>
      <c r="H525" s="0" t="s">
        <v>43</v>
      </c>
      <c r="I525" s="0" t="s">
        <v>1581</v>
      </c>
      <c r="J525" s="0" t="s">
        <v>45</v>
      </c>
      <c r="K525" s="0" t="n">
        <v>5</v>
      </c>
      <c r="L525" s="0" t="n">
        <v>4</v>
      </c>
      <c r="M525" s="0" t="n">
        <v>4</v>
      </c>
      <c r="N525" s="0" t="n">
        <v>4</v>
      </c>
      <c r="O525" s="0" t="n">
        <f aca="false">SUM(K525:N525)</f>
        <v>17</v>
      </c>
      <c r="P525" s="0" t="str">
        <f aca="false">IF(O525&gt;=15,"Yes","No")</f>
        <v>Yes</v>
      </c>
      <c r="Q525" s="0" t="s">
        <v>115</v>
      </c>
      <c r="R525" s="2" t="n">
        <v>173000</v>
      </c>
      <c r="S525" s="3" t="n">
        <v>0.35</v>
      </c>
      <c r="T525" s="2" t="n">
        <f aca="false">R525*S525</f>
        <v>60550</v>
      </c>
      <c r="U525" s="4" t="s">
        <v>661</v>
      </c>
    </row>
    <row r="526" customFormat="false" ht="15" hidden="false" customHeight="false" outlineLevel="0" collapsed="false">
      <c r="A526" s="0" t="s">
        <v>1582</v>
      </c>
      <c r="B526" s="0" t="s">
        <v>1583</v>
      </c>
      <c r="C526" s="0" t="s">
        <v>152</v>
      </c>
      <c r="D526" s="0" t="s">
        <v>27</v>
      </c>
      <c r="E526" s="0" t="s">
        <v>178</v>
      </c>
      <c r="F526" s="0" t="s">
        <v>41</v>
      </c>
      <c r="G526" s="0" t="s">
        <v>1584</v>
      </c>
      <c r="H526" s="0" t="s">
        <v>57</v>
      </c>
      <c r="I526" s="0" t="s">
        <v>417</v>
      </c>
      <c r="J526" s="0" t="s">
        <v>69</v>
      </c>
      <c r="K526" s="0" t="n">
        <v>3</v>
      </c>
      <c r="L526" s="0" t="n">
        <v>2</v>
      </c>
      <c r="M526" s="0" t="n">
        <v>2</v>
      </c>
      <c r="N526" s="0" t="n">
        <v>3</v>
      </c>
      <c r="O526" s="0" t="n">
        <f aca="false">SUM(K526:N526)</f>
        <v>10</v>
      </c>
      <c r="P526" s="0" t="str">
        <f aca="false">IF(O526&gt;=15,"Yes","No")</f>
        <v>No</v>
      </c>
      <c r="Q526" s="0" t="s">
        <v>159</v>
      </c>
      <c r="R526" s="2" t="n">
        <v>251000</v>
      </c>
      <c r="S526" s="3" t="n">
        <v>0.05</v>
      </c>
      <c r="T526" s="2" t="n">
        <f aca="false">R526*S526</f>
        <v>12550</v>
      </c>
      <c r="U526" s="4" t="s">
        <v>949</v>
      </c>
    </row>
    <row r="527" customFormat="false" ht="15" hidden="false" customHeight="false" outlineLevel="0" collapsed="false">
      <c r="A527" s="0" t="s">
        <v>1585</v>
      </c>
      <c r="B527" s="0" t="s">
        <v>312</v>
      </c>
      <c r="C527" s="0" t="s">
        <v>39</v>
      </c>
      <c r="D527" s="0" t="s">
        <v>53</v>
      </c>
      <c r="E527" s="0" t="s">
        <v>178</v>
      </c>
      <c r="F527" s="0" t="s">
        <v>29</v>
      </c>
      <c r="G527" s="0" t="s">
        <v>1427</v>
      </c>
      <c r="H527" s="0" t="s">
        <v>86</v>
      </c>
      <c r="I527" s="0" t="s">
        <v>401</v>
      </c>
      <c r="J527" s="0" t="s">
        <v>78</v>
      </c>
      <c r="K527" s="0" t="n">
        <v>1</v>
      </c>
      <c r="L527" s="0" t="n">
        <v>1</v>
      </c>
      <c r="M527" s="0" t="n">
        <v>2</v>
      </c>
      <c r="N527" s="0" t="n">
        <v>1</v>
      </c>
      <c r="O527" s="0" t="n">
        <f aca="false">SUM(K527:N527)</f>
        <v>5</v>
      </c>
      <c r="P527" s="0" t="str">
        <f aca="false">IF(O527&gt;=15,"Yes","No")</f>
        <v>No</v>
      </c>
      <c r="Q527" s="0" t="s">
        <v>159</v>
      </c>
      <c r="R527" s="2" t="n">
        <v>870000</v>
      </c>
      <c r="S527" s="3" t="n">
        <v>0.05</v>
      </c>
      <c r="T527" s="2" t="n">
        <f aca="false">R527*S527</f>
        <v>43500</v>
      </c>
      <c r="U527" s="4" t="s">
        <v>895</v>
      </c>
    </row>
    <row r="528" customFormat="false" ht="15" hidden="false" customHeight="false" outlineLevel="0" collapsed="false">
      <c r="A528" s="0" t="s">
        <v>1586</v>
      </c>
      <c r="B528" s="0" t="s">
        <v>1046</v>
      </c>
      <c r="C528" s="0" t="s">
        <v>74</v>
      </c>
      <c r="D528" s="0" t="s">
        <v>53</v>
      </c>
      <c r="E528" s="0" t="s">
        <v>322</v>
      </c>
      <c r="F528" s="0" t="s">
        <v>41</v>
      </c>
      <c r="G528" s="0" t="s">
        <v>693</v>
      </c>
      <c r="H528" s="0" t="s">
        <v>86</v>
      </c>
      <c r="I528" s="0" t="s">
        <v>1372</v>
      </c>
      <c r="J528" s="0" t="s">
        <v>33</v>
      </c>
      <c r="K528" s="0" t="n">
        <v>2</v>
      </c>
      <c r="L528" s="0" t="n">
        <v>1</v>
      </c>
      <c r="M528" s="0" t="n">
        <v>2</v>
      </c>
      <c r="N528" s="0" t="n">
        <v>1</v>
      </c>
      <c r="O528" s="0" t="n">
        <f aca="false">SUM(K528:N528)</f>
        <v>6</v>
      </c>
      <c r="P528" s="0" t="str">
        <f aca="false">IF(O528&gt;=15,"Yes","No")</f>
        <v>No</v>
      </c>
      <c r="Q528" s="0" t="s">
        <v>159</v>
      </c>
      <c r="R528" s="2" t="n">
        <v>751000</v>
      </c>
      <c r="S528" s="3" t="n">
        <v>0.05</v>
      </c>
      <c r="T528" s="2" t="n">
        <f aca="false">R528*S528</f>
        <v>37550</v>
      </c>
      <c r="U528" s="4" t="s">
        <v>44</v>
      </c>
    </row>
    <row r="529" customFormat="false" ht="15" hidden="false" customHeight="false" outlineLevel="0" collapsed="false">
      <c r="A529" s="0" t="s">
        <v>1587</v>
      </c>
      <c r="B529" s="0" t="s">
        <v>1245</v>
      </c>
      <c r="C529" s="0" t="s">
        <v>26</v>
      </c>
      <c r="D529" s="0" t="s">
        <v>27</v>
      </c>
      <c r="E529" s="0" t="s">
        <v>215</v>
      </c>
      <c r="F529" s="0" t="s">
        <v>55</v>
      </c>
      <c r="G529" s="0" t="s">
        <v>1588</v>
      </c>
      <c r="H529" s="0" t="s">
        <v>43</v>
      </c>
      <c r="I529" s="0" t="s">
        <v>960</v>
      </c>
      <c r="J529" s="0" t="s">
        <v>69</v>
      </c>
      <c r="K529" s="0" t="n">
        <v>5</v>
      </c>
      <c r="L529" s="0" t="n">
        <v>5</v>
      </c>
      <c r="M529" s="0" t="n">
        <v>3</v>
      </c>
      <c r="N529" s="0" t="n">
        <v>4</v>
      </c>
      <c r="O529" s="0" t="n">
        <f aca="false">SUM(K529:N529)</f>
        <v>17</v>
      </c>
      <c r="P529" s="0" t="str">
        <f aca="false">IF(O529&gt;=15,"Yes","No")</f>
        <v>Yes</v>
      </c>
      <c r="Q529" s="0" t="s">
        <v>60</v>
      </c>
      <c r="R529" s="2" t="n">
        <v>230000</v>
      </c>
      <c r="S529" s="3" t="n">
        <v>0.15</v>
      </c>
      <c r="T529" s="2" t="n">
        <f aca="false">R529*S529</f>
        <v>34500</v>
      </c>
      <c r="U529" s="4" t="s">
        <v>1163</v>
      </c>
    </row>
    <row r="530" customFormat="false" ht="15" hidden="false" customHeight="false" outlineLevel="0" collapsed="false">
      <c r="A530" s="0" t="s">
        <v>1589</v>
      </c>
      <c r="B530" s="0" t="s">
        <v>668</v>
      </c>
      <c r="C530" s="0" t="s">
        <v>152</v>
      </c>
      <c r="D530" s="0" t="s">
        <v>64</v>
      </c>
      <c r="E530" s="0" t="s">
        <v>28</v>
      </c>
      <c r="F530" s="0" t="s">
        <v>112</v>
      </c>
      <c r="G530" s="0" t="s">
        <v>1129</v>
      </c>
      <c r="H530" s="0" t="s">
        <v>31</v>
      </c>
      <c r="I530" s="0" t="s">
        <v>1435</v>
      </c>
      <c r="J530" s="0" t="s">
        <v>69</v>
      </c>
      <c r="K530" s="0" t="n">
        <v>5</v>
      </c>
      <c r="L530" s="0" t="n">
        <v>4</v>
      </c>
      <c r="M530" s="0" t="n">
        <v>5</v>
      </c>
      <c r="N530" s="0" t="n">
        <v>4</v>
      </c>
      <c r="O530" s="0" t="n">
        <f aca="false">SUM(K530:N530)</f>
        <v>18</v>
      </c>
      <c r="P530" s="0" t="str">
        <f aca="false">IF(O530&gt;=15,"Yes","No")</f>
        <v>Yes</v>
      </c>
      <c r="Q530" s="0" t="s">
        <v>70</v>
      </c>
      <c r="R530" s="2" t="n">
        <v>2167000</v>
      </c>
      <c r="S530" s="3" t="n">
        <v>0.55</v>
      </c>
      <c r="T530" s="2" t="n">
        <f aca="false">R530*S530</f>
        <v>1191850</v>
      </c>
      <c r="U530" s="4" t="s">
        <v>71</v>
      </c>
    </row>
    <row r="531" customFormat="false" ht="15" hidden="false" customHeight="false" outlineLevel="0" collapsed="false">
      <c r="A531" s="0" t="s">
        <v>1590</v>
      </c>
      <c r="B531" s="0" t="s">
        <v>758</v>
      </c>
      <c r="C531" s="0" t="s">
        <v>26</v>
      </c>
      <c r="D531" s="0" t="s">
        <v>27</v>
      </c>
      <c r="E531" s="0" t="s">
        <v>215</v>
      </c>
      <c r="F531" s="0" t="s">
        <v>153</v>
      </c>
      <c r="G531" s="0" t="s">
        <v>759</v>
      </c>
      <c r="H531" s="0" t="s">
        <v>43</v>
      </c>
      <c r="I531" s="0" t="s">
        <v>930</v>
      </c>
      <c r="J531" s="0" t="s">
        <v>33</v>
      </c>
      <c r="K531" s="0" t="n">
        <v>4</v>
      </c>
      <c r="L531" s="0" t="n">
        <v>4</v>
      </c>
      <c r="M531" s="0" t="n">
        <v>3</v>
      </c>
      <c r="N531" s="0" t="n">
        <v>3</v>
      </c>
      <c r="O531" s="0" t="n">
        <f aca="false">SUM(K531:N531)</f>
        <v>14</v>
      </c>
      <c r="P531" s="0" t="str">
        <f aca="false">IF(O531&gt;=15,"Yes","No")</f>
        <v>No</v>
      </c>
      <c r="Q531" s="0" t="s">
        <v>70</v>
      </c>
      <c r="R531" s="2" t="n">
        <v>203000</v>
      </c>
      <c r="S531" s="3" t="n">
        <v>0.55</v>
      </c>
      <c r="T531" s="2" t="n">
        <f aca="false">R531*S531</f>
        <v>111650</v>
      </c>
      <c r="U531" s="4" t="s">
        <v>683</v>
      </c>
    </row>
    <row r="532" customFormat="false" ht="15" hidden="false" customHeight="false" outlineLevel="0" collapsed="false">
      <c r="A532" s="0" t="s">
        <v>1591</v>
      </c>
      <c r="B532" s="0" t="s">
        <v>1268</v>
      </c>
      <c r="C532" s="0" t="s">
        <v>74</v>
      </c>
      <c r="D532" s="0" t="s">
        <v>64</v>
      </c>
      <c r="E532" s="0" t="s">
        <v>119</v>
      </c>
      <c r="F532" s="0" t="s">
        <v>112</v>
      </c>
      <c r="G532" s="0" t="s">
        <v>483</v>
      </c>
      <c r="H532" s="0" t="s">
        <v>43</v>
      </c>
      <c r="I532" s="0" t="s">
        <v>730</v>
      </c>
      <c r="J532" s="0" t="s">
        <v>33</v>
      </c>
      <c r="K532" s="0" t="n">
        <v>2</v>
      </c>
      <c r="L532" s="0" t="n">
        <v>3</v>
      </c>
      <c r="M532" s="0" t="n">
        <v>4</v>
      </c>
      <c r="N532" s="0" t="n">
        <v>5</v>
      </c>
      <c r="O532" s="0" t="n">
        <f aca="false">SUM(K532:N532)</f>
        <v>14</v>
      </c>
      <c r="P532" s="0" t="str">
        <f aca="false">IF(O532&gt;=15,"Yes","No")</f>
        <v>No</v>
      </c>
      <c r="Q532" s="0" t="s">
        <v>159</v>
      </c>
      <c r="R532" s="2" t="n">
        <v>3018000</v>
      </c>
      <c r="S532" s="3" t="n">
        <v>0.05</v>
      </c>
      <c r="T532" s="2" t="n">
        <f aca="false">R532*S532</f>
        <v>150900</v>
      </c>
      <c r="U532" s="4" t="s">
        <v>250</v>
      </c>
    </row>
    <row r="533" customFormat="false" ht="15" hidden="false" customHeight="false" outlineLevel="0" collapsed="false">
      <c r="A533" s="0" t="s">
        <v>1592</v>
      </c>
      <c r="B533" s="0" t="s">
        <v>428</v>
      </c>
      <c r="C533" s="0" t="s">
        <v>264</v>
      </c>
      <c r="D533" s="0" t="s">
        <v>53</v>
      </c>
      <c r="E533" s="0" t="s">
        <v>99</v>
      </c>
      <c r="F533" s="0" t="s">
        <v>55</v>
      </c>
      <c r="G533" s="0" t="s">
        <v>1233</v>
      </c>
      <c r="H533" s="0" t="s">
        <v>86</v>
      </c>
      <c r="I533" s="0" t="s">
        <v>1038</v>
      </c>
      <c r="J533" s="0" t="s">
        <v>59</v>
      </c>
      <c r="K533" s="0" t="n">
        <v>2</v>
      </c>
      <c r="L533" s="0" t="n">
        <v>2</v>
      </c>
      <c r="M533" s="0" t="n">
        <v>3</v>
      </c>
      <c r="N533" s="0" t="n">
        <v>1</v>
      </c>
      <c r="O533" s="0" t="n">
        <f aca="false">SUM(K533:N533)</f>
        <v>8</v>
      </c>
      <c r="P533" s="0" t="str">
        <f aca="false">IF(O533&gt;=15,"Yes","No")</f>
        <v>No</v>
      </c>
      <c r="Q533" s="0" t="s">
        <v>60</v>
      </c>
      <c r="R533" s="2" t="n">
        <v>740000</v>
      </c>
      <c r="S533" s="3" t="n">
        <v>0.15</v>
      </c>
      <c r="T533" s="2" t="n">
        <f aca="false">R533*S533</f>
        <v>111000</v>
      </c>
      <c r="U533" s="4" t="s">
        <v>927</v>
      </c>
    </row>
    <row r="534" customFormat="false" ht="15" hidden="false" customHeight="false" outlineLevel="0" collapsed="false">
      <c r="A534" s="0" t="s">
        <v>1593</v>
      </c>
      <c r="B534" s="0" t="s">
        <v>83</v>
      </c>
      <c r="C534" s="0" t="s">
        <v>129</v>
      </c>
      <c r="D534" s="0" t="s">
        <v>27</v>
      </c>
      <c r="E534" s="0" t="s">
        <v>99</v>
      </c>
      <c r="F534" s="0" t="s">
        <v>179</v>
      </c>
      <c r="G534" s="0" t="s">
        <v>1246</v>
      </c>
      <c r="H534" s="0" t="s">
        <v>248</v>
      </c>
      <c r="I534" s="0" t="s">
        <v>905</v>
      </c>
      <c r="J534" s="0" t="s">
        <v>78</v>
      </c>
      <c r="K534" s="0" t="n">
        <v>4</v>
      </c>
      <c r="L534" s="0" t="n">
        <v>2</v>
      </c>
      <c r="M534" s="0" t="n">
        <v>3</v>
      </c>
      <c r="N534" s="0" t="n">
        <v>3</v>
      </c>
      <c r="O534" s="0" t="n">
        <f aca="false">SUM(K534:N534)</f>
        <v>12</v>
      </c>
      <c r="P534" s="0" t="str">
        <f aca="false">IF(O534&gt;=15,"Yes","No")</f>
        <v>No</v>
      </c>
      <c r="Q534" s="0" t="s">
        <v>46</v>
      </c>
      <c r="R534" s="2" t="n">
        <v>219000</v>
      </c>
      <c r="S534" s="3" t="n">
        <v>0</v>
      </c>
      <c r="T534" s="2" t="n">
        <f aca="false">R534*S534</f>
        <v>0</v>
      </c>
      <c r="U534" s="4" t="s">
        <v>1402</v>
      </c>
      <c r="V534" s="4" t="s">
        <v>975</v>
      </c>
      <c r="W534" s="0" t="n">
        <v>30</v>
      </c>
      <c r="X534" s="4" t="s">
        <v>49</v>
      </c>
    </row>
    <row r="535" customFormat="false" ht="15" hidden="false" customHeight="false" outlineLevel="0" collapsed="false">
      <c r="A535" s="0" t="s">
        <v>1594</v>
      </c>
      <c r="B535" s="0" t="s">
        <v>1388</v>
      </c>
      <c r="C535" s="0" t="s">
        <v>152</v>
      </c>
      <c r="D535" s="0" t="s">
        <v>53</v>
      </c>
      <c r="E535" s="0" t="s">
        <v>111</v>
      </c>
      <c r="F535" s="0" t="s">
        <v>55</v>
      </c>
      <c r="G535" s="0" t="s">
        <v>1595</v>
      </c>
      <c r="H535" s="0" t="s">
        <v>43</v>
      </c>
      <c r="I535" s="0" t="s">
        <v>1596</v>
      </c>
      <c r="J535" s="0" t="s">
        <v>59</v>
      </c>
      <c r="K535" s="0" t="n">
        <v>5</v>
      </c>
      <c r="L535" s="0" t="n">
        <v>4</v>
      </c>
      <c r="M535" s="0" t="n">
        <v>4</v>
      </c>
      <c r="N535" s="0" t="n">
        <v>5</v>
      </c>
      <c r="O535" s="0" t="n">
        <f aca="false">SUM(K535:N535)</f>
        <v>18</v>
      </c>
      <c r="P535" s="0" t="str">
        <f aca="false">IF(O535&gt;=15,"Yes","No")</f>
        <v>Yes</v>
      </c>
      <c r="Q535" s="0" t="s">
        <v>60</v>
      </c>
      <c r="R535" s="2" t="n">
        <v>908000</v>
      </c>
      <c r="S535" s="3" t="n">
        <v>0.15</v>
      </c>
      <c r="T535" s="2" t="n">
        <f aca="false">R535*S535</f>
        <v>136200</v>
      </c>
      <c r="U535" s="4" t="s">
        <v>561</v>
      </c>
    </row>
    <row r="536" customFormat="false" ht="15" hidden="false" customHeight="false" outlineLevel="0" collapsed="false">
      <c r="A536" s="0" t="s">
        <v>1597</v>
      </c>
      <c r="B536" s="0" t="s">
        <v>204</v>
      </c>
      <c r="C536" s="0" t="s">
        <v>26</v>
      </c>
      <c r="D536" s="0" t="s">
        <v>27</v>
      </c>
      <c r="E536" s="0" t="s">
        <v>136</v>
      </c>
      <c r="F536" s="0" t="s">
        <v>41</v>
      </c>
      <c r="G536" s="0" t="s">
        <v>1598</v>
      </c>
      <c r="H536" s="0" t="s">
        <v>43</v>
      </c>
      <c r="I536" s="0" t="s">
        <v>96</v>
      </c>
      <c r="J536" s="0" t="s">
        <v>78</v>
      </c>
      <c r="K536" s="0" t="n">
        <v>5</v>
      </c>
      <c r="L536" s="0" t="n">
        <v>5</v>
      </c>
      <c r="M536" s="0" t="n">
        <v>5</v>
      </c>
      <c r="N536" s="0" t="n">
        <v>5</v>
      </c>
      <c r="O536" s="0" t="n">
        <f aca="false">SUM(K536:N536)</f>
        <v>20</v>
      </c>
      <c r="P536" s="0" t="str">
        <f aca="false">IF(O536&gt;=15,"Yes","No")</f>
        <v>Yes</v>
      </c>
      <c r="Q536" s="0" t="s">
        <v>34</v>
      </c>
      <c r="R536" s="2" t="n">
        <v>249000</v>
      </c>
      <c r="S536" s="3" t="n">
        <v>1</v>
      </c>
      <c r="T536" s="2" t="n">
        <f aca="false">R536*S536</f>
        <v>249000</v>
      </c>
      <c r="U536" s="4" t="s">
        <v>1579</v>
      </c>
      <c r="V536" s="4" t="s">
        <v>1599</v>
      </c>
      <c r="W536" s="0" t="n">
        <v>32</v>
      </c>
    </row>
    <row r="537" customFormat="false" ht="15" hidden="false" customHeight="false" outlineLevel="0" collapsed="false">
      <c r="A537" s="0" t="s">
        <v>1600</v>
      </c>
      <c r="B537" s="0" t="s">
        <v>594</v>
      </c>
      <c r="C537" s="0" t="s">
        <v>52</v>
      </c>
      <c r="D537" s="0" t="s">
        <v>64</v>
      </c>
      <c r="E537" s="0" t="s">
        <v>105</v>
      </c>
      <c r="F537" s="0" t="s">
        <v>153</v>
      </c>
      <c r="G537" s="0" t="s">
        <v>637</v>
      </c>
      <c r="H537" s="0" t="s">
        <v>57</v>
      </c>
      <c r="I537" s="0" t="s">
        <v>985</v>
      </c>
      <c r="J537" s="0" t="s">
        <v>33</v>
      </c>
      <c r="K537" s="0" t="n">
        <v>1</v>
      </c>
      <c r="L537" s="0" t="n">
        <v>2</v>
      </c>
      <c r="M537" s="0" t="n">
        <v>3</v>
      </c>
      <c r="N537" s="0" t="n">
        <v>2</v>
      </c>
      <c r="O537" s="0" t="n">
        <f aca="false">SUM(K537:N537)</f>
        <v>8</v>
      </c>
      <c r="P537" s="0" t="str">
        <f aca="false">IF(O537&gt;=15,"Yes","No")</f>
        <v>No</v>
      </c>
      <c r="Q537" s="0" t="s">
        <v>159</v>
      </c>
      <c r="R537" s="2" t="n">
        <v>2879000</v>
      </c>
      <c r="S537" s="3" t="n">
        <v>0.05</v>
      </c>
      <c r="T537" s="2" t="n">
        <f aca="false">R537*S537</f>
        <v>143950</v>
      </c>
      <c r="U537" s="4" t="s">
        <v>150</v>
      </c>
    </row>
    <row r="538" customFormat="false" ht="15" hidden="false" customHeight="false" outlineLevel="0" collapsed="false">
      <c r="A538" s="0" t="s">
        <v>1601</v>
      </c>
      <c r="B538" s="0" t="s">
        <v>91</v>
      </c>
      <c r="C538" s="0" t="s">
        <v>39</v>
      </c>
      <c r="D538" s="0" t="s">
        <v>64</v>
      </c>
      <c r="E538" s="0" t="s">
        <v>178</v>
      </c>
      <c r="F538" s="0" t="s">
        <v>75</v>
      </c>
      <c r="G538" s="0" t="s">
        <v>1427</v>
      </c>
      <c r="H538" s="0" t="s">
        <v>43</v>
      </c>
      <c r="I538" s="0" t="s">
        <v>1351</v>
      </c>
      <c r="J538" s="0" t="s">
        <v>33</v>
      </c>
      <c r="K538" s="0" t="n">
        <v>3</v>
      </c>
      <c r="L538" s="0" t="n">
        <v>5</v>
      </c>
      <c r="M538" s="0" t="n">
        <v>4</v>
      </c>
      <c r="N538" s="0" t="n">
        <v>1</v>
      </c>
      <c r="O538" s="0" t="n">
        <f aca="false">SUM(K538:N538)</f>
        <v>13</v>
      </c>
      <c r="P538" s="0" t="str">
        <f aca="false">IF(O538&gt;=15,"Yes","No")</f>
        <v>No</v>
      </c>
      <c r="Q538" s="0" t="s">
        <v>34</v>
      </c>
      <c r="R538" s="2" t="n">
        <v>3054000</v>
      </c>
      <c r="S538" s="3" t="n">
        <v>1</v>
      </c>
      <c r="T538" s="2" t="n">
        <f aca="false">R538*S538</f>
        <v>3054000</v>
      </c>
      <c r="U538" s="4" t="s">
        <v>139</v>
      </c>
      <c r="V538" s="4" t="s">
        <v>653</v>
      </c>
      <c r="W538" s="0" t="n">
        <v>33</v>
      </c>
    </row>
    <row r="539" customFormat="false" ht="15" hidden="false" customHeight="false" outlineLevel="0" collapsed="false">
      <c r="A539" s="0" t="s">
        <v>1602</v>
      </c>
      <c r="B539" s="0" t="s">
        <v>898</v>
      </c>
      <c r="C539" s="0" t="s">
        <v>264</v>
      </c>
      <c r="D539" s="0" t="s">
        <v>53</v>
      </c>
      <c r="E539" s="0" t="s">
        <v>99</v>
      </c>
      <c r="F539" s="0" t="s">
        <v>29</v>
      </c>
      <c r="G539" s="0" t="s">
        <v>1603</v>
      </c>
      <c r="H539" s="0" t="s">
        <v>86</v>
      </c>
      <c r="I539" s="0" t="s">
        <v>1487</v>
      </c>
      <c r="J539" s="0" t="s">
        <v>45</v>
      </c>
      <c r="K539" s="0" t="n">
        <v>4</v>
      </c>
      <c r="L539" s="0" t="n">
        <v>3</v>
      </c>
      <c r="M539" s="0" t="n">
        <v>1</v>
      </c>
      <c r="N539" s="0" t="n">
        <v>1</v>
      </c>
      <c r="O539" s="0" t="n">
        <f aca="false">SUM(K539:N539)</f>
        <v>9</v>
      </c>
      <c r="P539" s="0" t="str">
        <f aca="false">IF(O539&gt;=15,"Yes","No")</f>
        <v>No</v>
      </c>
      <c r="Q539" s="0" t="s">
        <v>159</v>
      </c>
      <c r="R539" s="2" t="n">
        <v>609000</v>
      </c>
      <c r="S539" s="3" t="n">
        <v>0.05</v>
      </c>
      <c r="T539" s="2" t="n">
        <f aca="false">R539*S539</f>
        <v>30450</v>
      </c>
      <c r="U539" s="4" t="s">
        <v>1573</v>
      </c>
    </row>
    <row r="540" customFormat="false" ht="15" hidden="false" customHeight="false" outlineLevel="0" collapsed="false">
      <c r="A540" s="0" t="s">
        <v>1604</v>
      </c>
      <c r="B540" s="0" t="s">
        <v>263</v>
      </c>
      <c r="C540" s="0" t="s">
        <v>264</v>
      </c>
      <c r="D540" s="0" t="s">
        <v>27</v>
      </c>
      <c r="E540" s="0" t="s">
        <v>28</v>
      </c>
      <c r="F540" s="0" t="s">
        <v>130</v>
      </c>
      <c r="G540" s="0" t="s">
        <v>1377</v>
      </c>
      <c r="H540" s="0" t="s">
        <v>86</v>
      </c>
      <c r="I540" s="0" t="s">
        <v>823</v>
      </c>
      <c r="J540" s="0" t="s">
        <v>69</v>
      </c>
      <c r="K540" s="0" t="n">
        <v>3</v>
      </c>
      <c r="L540" s="0" t="n">
        <v>3</v>
      </c>
      <c r="M540" s="0" t="n">
        <v>1</v>
      </c>
      <c r="N540" s="0" t="n">
        <v>2</v>
      </c>
      <c r="O540" s="0" t="n">
        <f aca="false">SUM(K540:N540)</f>
        <v>9</v>
      </c>
      <c r="P540" s="0" t="str">
        <f aca="false">IF(O540&gt;=15,"Yes","No")</f>
        <v>No</v>
      </c>
      <c r="Q540" s="0" t="s">
        <v>60</v>
      </c>
      <c r="R540" s="2" t="n">
        <v>216000</v>
      </c>
      <c r="S540" s="3" t="n">
        <v>0.15</v>
      </c>
      <c r="T540" s="2" t="n">
        <f aca="false">R540*S540</f>
        <v>32400</v>
      </c>
      <c r="U540" s="4" t="s">
        <v>822</v>
      </c>
    </row>
    <row r="541" customFormat="false" ht="15" hidden="false" customHeight="false" outlineLevel="0" collapsed="false">
      <c r="A541" s="0" t="s">
        <v>1605</v>
      </c>
      <c r="B541" s="0" t="s">
        <v>773</v>
      </c>
      <c r="C541" s="0" t="s">
        <v>74</v>
      </c>
      <c r="D541" s="0" t="s">
        <v>27</v>
      </c>
      <c r="E541" s="0" t="s">
        <v>119</v>
      </c>
      <c r="F541" s="0" t="s">
        <v>55</v>
      </c>
      <c r="G541" s="0" t="s">
        <v>1329</v>
      </c>
      <c r="H541" s="0" t="s">
        <v>86</v>
      </c>
      <c r="I541" s="0" t="s">
        <v>102</v>
      </c>
      <c r="J541" s="0" t="s">
        <v>69</v>
      </c>
      <c r="K541" s="0" t="n">
        <v>2</v>
      </c>
      <c r="L541" s="0" t="n">
        <v>2</v>
      </c>
      <c r="M541" s="0" t="n">
        <v>2</v>
      </c>
      <c r="N541" s="0" t="n">
        <v>3</v>
      </c>
      <c r="O541" s="0" t="n">
        <f aca="false">SUM(K541:N541)</f>
        <v>9</v>
      </c>
      <c r="P541" s="0" t="str">
        <f aca="false">IF(O541&gt;=15,"Yes","No")</f>
        <v>No</v>
      </c>
      <c r="Q541" s="0" t="s">
        <v>159</v>
      </c>
      <c r="R541" s="2" t="n">
        <v>152000</v>
      </c>
      <c r="S541" s="3" t="n">
        <v>0.05</v>
      </c>
      <c r="T541" s="2" t="n">
        <f aca="false">R541*S541</f>
        <v>7600</v>
      </c>
      <c r="U541" s="4" t="s">
        <v>347</v>
      </c>
    </row>
    <row r="542" customFormat="false" ht="15" hidden="false" customHeight="false" outlineLevel="0" collapsed="false">
      <c r="A542" s="0" t="s">
        <v>1606</v>
      </c>
      <c r="B542" s="0" t="s">
        <v>104</v>
      </c>
      <c r="C542" s="0" t="s">
        <v>26</v>
      </c>
      <c r="D542" s="0" t="s">
        <v>27</v>
      </c>
      <c r="E542" s="0" t="s">
        <v>84</v>
      </c>
      <c r="F542" s="0" t="s">
        <v>41</v>
      </c>
      <c r="G542" s="0" t="s">
        <v>518</v>
      </c>
      <c r="H542" s="0" t="s">
        <v>57</v>
      </c>
      <c r="I542" s="0" t="s">
        <v>94</v>
      </c>
      <c r="J542" s="0" t="s">
        <v>78</v>
      </c>
      <c r="K542" s="0" t="n">
        <v>2</v>
      </c>
      <c r="L542" s="0" t="n">
        <v>3</v>
      </c>
      <c r="M542" s="0" t="n">
        <v>2</v>
      </c>
      <c r="N542" s="0" t="n">
        <v>1</v>
      </c>
      <c r="O542" s="0" t="n">
        <f aca="false">SUM(K542:N542)</f>
        <v>8</v>
      </c>
      <c r="P542" s="0" t="str">
        <f aca="false">IF(O542&gt;=15,"Yes","No")</f>
        <v>No</v>
      </c>
      <c r="Q542" s="0" t="s">
        <v>46</v>
      </c>
      <c r="R542" s="2" t="n">
        <v>152000</v>
      </c>
      <c r="S542" s="3" t="n">
        <v>0</v>
      </c>
      <c r="T542" s="2" t="n">
        <f aca="false">R542*S542</f>
        <v>0</v>
      </c>
      <c r="U542" s="4" t="s">
        <v>714</v>
      </c>
      <c r="V542" s="4" t="s">
        <v>96</v>
      </c>
      <c r="W542" s="0" t="n">
        <v>37</v>
      </c>
      <c r="X542" s="4" t="s">
        <v>257</v>
      </c>
    </row>
    <row r="543" customFormat="false" ht="15" hidden="false" customHeight="false" outlineLevel="0" collapsed="false">
      <c r="A543" s="0" t="s">
        <v>1607</v>
      </c>
      <c r="B543" s="0" t="s">
        <v>433</v>
      </c>
      <c r="C543" s="0" t="s">
        <v>26</v>
      </c>
      <c r="D543" s="0" t="s">
        <v>27</v>
      </c>
      <c r="E543" s="0" t="s">
        <v>65</v>
      </c>
      <c r="F543" s="0" t="s">
        <v>112</v>
      </c>
      <c r="G543" s="0" t="s">
        <v>514</v>
      </c>
      <c r="H543" s="0" t="s">
        <v>31</v>
      </c>
      <c r="I543" s="0" t="s">
        <v>1608</v>
      </c>
      <c r="J543" s="0" t="s">
        <v>33</v>
      </c>
      <c r="K543" s="0" t="n">
        <v>4</v>
      </c>
      <c r="L543" s="0" t="n">
        <v>3</v>
      </c>
      <c r="M543" s="0" t="n">
        <v>4</v>
      </c>
      <c r="N543" s="0" t="n">
        <v>5</v>
      </c>
      <c r="O543" s="0" t="n">
        <f aca="false">SUM(K543:N543)</f>
        <v>16</v>
      </c>
      <c r="P543" s="0" t="str">
        <f aca="false">IF(O543&gt;=15,"Yes","No")</f>
        <v>Yes</v>
      </c>
      <c r="Q543" s="0" t="s">
        <v>159</v>
      </c>
      <c r="R543" s="2" t="n">
        <v>153000</v>
      </c>
      <c r="S543" s="3" t="n">
        <v>0.05</v>
      </c>
      <c r="T543" s="2" t="n">
        <f aca="false">R543*S543</f>
        <v>7650</v>
      </c>
      <c r="U543" s="4" t="s">
        <v>1357</v>
      </c>
    </row>
    <row r="544" customFormat="false" ht="15" hidden="false" customHeight="false" outlineLevel="0" collapsed="false">
      <c r="A544" s="0" t="s">
        <v>1609</v>
      </c>
      <c r="B544" s="0" t="s">
        <v>959</v>
      </c>
      <c r="C544" s="0" t="s">
        <v>184</v>
      </c>
      <c r="D544" s="0" t="s">
        <v>53</v>
      </c>
      <c r="E544" s="0" t="s">
        <v>215</v>
      </c>
      <c r="F544" s="0" t="s">
        <v>130</v>
      </c>
      <c r="G544" s="0" t="s">
        <v>1610</v>
      </c>
      <c r="H544" s="0" t="s">
        <v>67</v>
      </c>
      <c r="I544" s="0" t="s">
        <v>1053</v>
      </c>
      <c r="J544" s="0" t="s">
        <v>69</v>
      </c>
      <c r="K544" s="0" t="n">
        <v>2</v>
      </c>
      <c r="L544" s="0" t="n">
        <v>3</v>
      </c>
      <c r="M544" s="0" t="n">
        <v>4</v>
      </c>
      <c r="N544" s="0" t="n">
        <v>4</v>
      </c>
      <c r="O544" s="0" t="n">
        <f aca="false">SUM(K544:N544)</f>
        <v>13</v>
      </c>
      <c r="P544" s="0" t="str">
        <f aca="false">IF(O544&gt;=15,"Yes","No")</f>
        <v>No</v>
      </c>
      <c r="Q544" s="0" t="s">
        <v>46</v>
      </c>
      <c r="R544" s="2" t="n">
        <v>706000</v>
      </c>
      <c r="S544" s="3" t="n">
        <v>0</v>
      </c>
      <c r="T544" s="2" t="n">
        <f aca="false">R544*S544</f>
        <v>0</v>
      </c>
      <c r="U544" s="4" t="s">
        <v>169</v>
      </c>
      <c r="V544" s="4" t="s">
        <v>949</v>
      </c>
      <c r="W544" s="0" t="n">
        <v>17</v>
      </c>
      <c r="X544" s="4" t="s">
        <v>326</v>
      </c>
    </row>
    <row r="545" customFormat="false" ht="15" hidden="false" customHeight="false" outlineLevel="0" collapsed="false">
      <c r="A545" s="0" t="s">
        <v>1611</v>
      </c>
      <c r="B545" s="0" t="s">
        <v>147</v>
      </c>
      <c r="C545" s="0" t="s">
        <v>184</v>
      </c>
      <c r="D545" s="0" t="s">
        <v>53</v>
      </c>
      <c r="E545" s="0" t="s">
        <v>111</v>
      </c>
      <c r="F545" s="0" t="s">
        <v>75</v>
      </c>
      <c r="G545" s="0" t="s">
        <v>1612</v>
      </c>
      <c r="H545" s="0" t="s">
        <v>67</v>
      </c>
      <c r="I545" s="0" t="s">
        <v>601</v>
      </c>
      <c r="J545" s="0" t="s">
        <v>69</v>
      </c>
      <c r="K545" s="0" t="n">
        <v>2</v>
      </c>
      <c r="L545" s="0" t="n">
        <v>3</v>
      </c>
      <c r="M545" s="0" t="n">
        <v>3</v>
      </c>
      <c r="N545" s="0" t="n">
        <v>4</v>
      </c>
      <c r="O545" s="0" t="n">
        <f aca="false">SUM(K545:N545)</f>
        <v>12</v>
      </c>
      <c r="P545" s="0" t="str">
        <f aca="false">IF(O545&gt;=15,"Yes","No")</f>
        <v>No</v>
      </c>
      <c r="Q545" s="0" t="s">
        <v>60</v>
      </c>
      <c r="R545" s="2" t="n">
        <v>540000</v>
      </c>
      <c r="S545" s="3" t="n">
        <v>0.15</v>
      </c>
      <c r="T545" s="2" t="n">
        <f aca="false">R545*S545</f>
        <v>81000</v>
      </c>
      <c r="U545" s="4" t="s">
        <v>1380</v>
      </c>
    </row>
    <row r="546" customFormat="false" ht="15" hidden="false" customHeight="false" outlineLevel="0" collapsed="false">
      <c r="A546" s="0" t="s">
        <v>1613</v>
      </c>
      <c r="B546" s="0" t="s">
        <v>1089</v>
      </c>
      <c r="C546" s="0" t="s">
        <v>74</v>
      </c>
      <c r="D546" s="0" t="s">
        <v>27</v>
      </c>
      <c r="E546" s="0" t="s">
        <v>92</v>
      </c>
      <c r="F546" s="0" t="s">
        <v>179</v>
      </c>
      <c r="G546" s="0" t="s">
        <v>1614</v>
      </c>
      <c r="H546" s="0" t="s">
        <v>57</v>
      </c>
      <c r="I546" s="0" t="s">
        <v>520</v>
      </c>
      <c r="J546" s="0" t="s">
        <v>45</v>
      </c>
      <c r="K546" s="0" t="n">
        <v>1</v>
      </c>
      <c r="L546" s="0" t="n">
        <v>4</v>
      </c>
      <c r="M546" s="0" t="n">
        <v>3</v>
      </c>
      <c r="N546" s="0" t="n">
        <v>3</v>
      </c>
      <c r="O546" s="0" t="n">
        <f aca="false">SUM(K546:N546)</f>
        <v>11</v>
      </c>
      <c r="P546" s="0" t="str">
        <f aca="false">IF(O546&gt;=15,"Yes","No")</f>
        <v>No</v>
      </c>
      <c r="Q546" s="0" t="s">
        <v>70</v>
      </c>
      <c r="R546" s="2" t="n">
        <v>146000</v>
      </c>
      <c r="S546" s="3" t="n">
        <v>0.55</v>
      </c>
      <c r="T546" s="2" t="n">
        <f aca="false">R546*S546</f>
        <v>80300</v>
      </c>
      <c r="U546" s="4" t="s">
        <v>383</v>
      </c>
    </row>
    <row r="547" customFormat="false" ht="15" hidden="false" customHeight="false" outlineLevel="0" collapsed="false">
      <c r="A547" s="0" t="s">
        <v>1615</v>
      </c>
      <c r="B547" s="0" t="s">
        <v>1175</v>
      </c>
      <c r="C547" s="0" t="s">
        <v>26</v>
      </c>
      <c r="D547" s="0" t="s">
        <v>53</v>
      </c>
      <c r="E547" s="0" t="s">
        <v>65</v>
      </c>
      <c r="F547" s="0" t="s">
        <v>29</v>
      </c>
      <c r="G547" s="0" t="s">
        <v>1048</v>
      </c>
      <c r="H547" s="0" t="s">
        <v>86</v>
      </c>
      <c r="I547" s="0" t="s">
        <v>1616</v>
      </c>
      <c r="J547" s="0" t="s">
        <v>69</v>
      </c>
      <c r="K547" s="0" t="n">
        <v>1</v>
      </c>
      <c r="L547" s="0" t="n">
        <v>2</v>
      </c>
      <c r="M547" s="0" t="n">
        <v>3</v>
      </c>
      <c r="N547" s="0" t="n">
        <v>1</v>
      </c>
      <c r="O547" s="0" t="n">
        <f aca="false">SUM(K547:N547)</f>
        <v>7</v>
      </c>
      <c r="P547" s="0" t="str">
        <f aca="false">IF(O547&gt;=15,"Yes","No")</f>
        <v>No</v>
      </c>
      <c r="Q547" s="0" t="s">
        <v>159</v>
      </c>
      <c r="R547" s="2" t="n">
        <v>567000</v>
      </c>
      <c r="S547" s="3" t="n">
        <v>0.05</v>
      </c>
      <c r="T547" s="2" t="n">
        <f aca="false">R547*S547</f>
        <v>28350</v>
      </c>
      <c r="U547" s="4" t="s">
        <v>254</v>
      </c>
    </row>
    <row r="548" customFormat="false" ht="15" hidden="false" customHeight="false" outlineLevel="0" collapsed="false">
      <c r="A548" s="0" t="s">
        <v>1617</v>
      </c>
      <c r="B548" s="0" t="s">
        <v>1245</v>
      </c>
      <c r="C548" s="0" t="s">
        <v>129</v>
      </c>
      <c r="D548" s="0" t="s">
        <v>27</v>
      </c>
      <c r="E548" s="0" t="s">
        <v>111</v>
      </c>
      <c r="F548" s="0" t="s">
        <v>179</v>
      </c>
      <c r="G548" s="0" t="s">
        <v>328</v>
      </c>
      <c r="H548" s="0" t="s">
        <v>67</v>
      </c>
      <c r="I548" s="0" t="s">
        <v>643</v>
      </c>
      <c r="J548" s="0" t="s">
        <v>69</v>
      </c>
      <c r="K548" s="0" t="n">
        <v>2</v>
      </c>
      <c r="L548" s="0" t="n">
        <v>5</v>
      </c>
      <c r="M548" s="0" t="n">
        <v>2</v>
      </c>
      <c r="N548" s="0" t="n">
        <v>4</v>
      </c>
      <c r="O548" s="0" t="n">
        <f aca="false">SUM(K548:N548)</f>
        <v>13</v>
      </c>
      <c r="P548" s="0" t="str">
        <f aca="false">IF(O548&gt;=15,"Yes","No")</f>
        <v>No</v>
      </c>
      <c r="Q548" s="0" t="s">
        <v>60</v>
      </c>
      <c r="R548" s="2" t="n">
        <v>158000</v>
      </c>
      <c r="S548" s="3" t="n">
        <v>0.15</v>
      </c>
      <c r="T548" s="2" t="n">
        <f aca="false">R548*S548</f>
        <v>23700</v>
      </c>
      <c r="U548" s="4" t="s">
        <v>1618</v>
      </c>
    </row>
    <row r="549" customFormat="false" ht="15" hidden="false" customHeight="false" outlineLevel="0" collapsed="false">
      <c r="A549" s="0" t="s">
        <v>1619</v>
      </c>
      <c r="B549" s="0" t="s">
        <v>1620</v>
      </c>
      <c r="C549" s="0" t="s">
        <v>152</v>
      </c>
      <c r="D549" s="0" t="s">
        <v>27</v>
      </c>
      <c r="E549" s="0" t="s">
        <v>84</v>
      </c>
      <c r="F549" s="0" t="s">
        <v>130</v>
      </c>
      <c r="G549" s="0" t="s">
        <v>1070</v>
      </c>
      <c r="H549" s="0" t="s">
        <v>248</v>
      </c>
      <c r="I549" s="0" t="s">
        <v>634</v>
      </c>
      <c r="J549" s="0" t="s">
        <v>78</v>
      </c>
      <c r="K549" s="0" t="n">
        <v>4</v>
      </c>
      <c r="L549" s="0" t="n">
        <v>2</v>
      </c>
      <c r="M549" s="0" t="n">
        <v>3</v>
      </c>
      <c r="N549" s="0" t="n">
        <v>4</v>
      </c>
      <c r="O549" s="0" t="n">
        <f aca="false">SUM(K549:N549)</f>
        <v>13</v>
      </c>
      <c r="P549" s="0" t="str">
        <f aca="false">IF(O549&gt;=15,"Yes","No")</f>
        <v>No</v>
      </c>
      <c r="Q549" s="0" t="s">
        <v>159</v>
      </c>
      <c r="R549" s="2" t="n">
        <v>135000</v>
      </c>
      <c r="S549" s="3" t="n">
        <v>0.05</v>
      </c>
      <c r="T549" s="2" t="n">
        <f aca="false">R549*S549</f>
        <v>6750</v>
      </c>
      <c r="U549" s="4" t="s">
        <v>296</v>
      </c>
    </row>
    <row r="550" customFormat="false" ht="15" hidden="false" customHeight="false" outlineLevel="0" collapsed="false">
      <c r="A550" s="0" t="s">
        <v>1621</v>
      </c>
      <c r="B550" s="0" t="s">
        <v>1622</v>
      </c>
      <c r="C550" s="0" t="s">
        <v>129</v>
      </c>
      <c r="D550" s="0" t="s">
        <v>53</v>
      </c>
      <c r="E550" s="0" t="s">
        <v>84</v>
      </c>
      <c r="F550" s="0" t="s">
        <v>75</v>
      </c>
      <c r="G550" s="0" t="s">
        <v>1623</v>
      </c>
      <c r="H550" s="0" t="s">
        <v>248</v>
      </c>
      <c r="I550" s="0" t="s">
        <v>881</v>
      </c>
      <c r="J550" s="0" t="s">
        <v>78</v>
      </c>
      <c r="K550" s="0" t="n">
        <v>2</v>
      </c>
      <c r="L550" s="0" t="n">
        <v>3</v>
      </c>
      <c r="M550" s="0" t="n">
        <v>2</v>
      </c>
      <c r="N550" s="0" t="n">
        <v>3</v>
      </c>
      <c r="O550" s="0" t="n">
        <f aca="false">SUM(K550:N550)</f>
        <v>10</v>
      </c>
      <c r="P550" s="0" t="str">
        <f aca="false">IF(O550&gt;=15,"Yes","No")</f>
        <v>No</v>
      </c>
      <c r="Q550" s="0" t="s">
        <v>46</v>
      </c>
      <c r="R550" s="2" t="n">
        <v>624000</v>
      </c>
      <c r="S550" s="3" t="n">
        <v>0</v>
      </c>
      <c r="T550" s="2" t="n">
        <f aca="false">R550*S550</f>
        <v>0</v>
      </c>
      <c r="U550" s="4" t="s">
        <v>71</v>
      </c>
      <c r="V550" s="4" t="s">
        <v>625</v>
      </c>
      <c r="W550" s="0" t="n">
        <v>35</v>
      </c>
      <c r="X550" s="4" t="s">
        <v>49</v>
      </c>
    </row>
    <row r="551" customFormat="false" ht="15" hidden="false" customHeight="false" outlineLevel="0" collapsed="false">
      <c r="A551" s="0" t="s">
        <v>1624</v>
      </c>
      <c r="B551" s="0" t="s">
        <v>659</v>
      </c>
      <c r="C551" s="0" t="s">
        <v>26</v>
      </c>
      <c r="D551" s="0" t="s">
        <v>53</v>
      </c>
      <c r="E551" s="0" t="s">
        <v>84</v>
      </c>
      <c r="F551" s="0" t="s">
        <v>75</v>
      </c>
      <c r="G551" s="0" t="s">
        <v>1004</v>
      </c>
      <c r="H551" s="0" t="s">
        <v>43</v>
      </c>
      <c r="I551" s="0" t="s">
        <v>370</v>
      </c>
      <c r="J551" s="0" t="s">
        <v>59</v>
      </c>
      <c r="K551" s="0" t="n">
        <v>5</v>
      </c>
      <c r="L551" s="0" t="n">
        <v>5</v>
      </c>
      <c r="M551" s="0" t="n">
        <v>3</v>
      </c>
      <c r="N551" s="0" t="n">
        <v>3</v>
      </c>
      <c r="O551" s="0" t="n">
        <f aca="false">SUM(K551:N551)</f>
        <v>16</v>
      </c>
      <c r="P551" s="0" t="str">
        <f aca="false">IF(O551&gt;=15,"Yes","No")</f>
        <v>Yes</v>
      </c>
      <c r="Q551" s="0" t="s">
        <v>159</v>
      </c>
      <c r="R551" s="2" t="n">
        <v>639000</v>
      </c>
      <c r="S551" s="3" t="n">
        <v>0.05</v>
      </c>
      <c r="T551" s="2" t="n">
        <f aca="false">R551*S551</f>
        <v>31950</v>
      </c>
      <c r="U551" s="4" t="s">
        <v>351</v>
      </c>
    </row>
    <row r="552" customFormat="false" ht="15" hidden="false" customHeight="false" outlineLevel="0" collapsed="false">
      <c r="A552" s="0" t="s">
        <v>1625</v>
      </c>
      <c r="B552" s="0" t="s">
        <v>659</v>
      </c>
      <c r="C552" s="0" t="s">
        <v>152</v>
      </c>
      <c r="D552" s="0" t="s">
        <v>53</v>
      </c>
      <c r="E552" s="0" t="s">
        <v>195</v>
      </c>
      <c r="F552" s="0" t="s">
        <v>112</v>
      </c>
      <c r="G552" s="0" t="s">
        <v>948</v>
      </c>
      <c r="H552" s="0" t="s">
        <v>31</v>
      </c>
      <c r="I552" s="0" t="s">
        <v>1626</v>
      </c>
      <c r="J552" s="0" t="s">
        <v>33</v>
      </c>
      <c r="K552" s="0" t="n">
        <v>3</v>
      </c>
      <c r="L552" s="0" t="n">
        <v>4</v>
      </c>
      <c r="M552" s="0" t="n">
        <v>3</v>
      </c>
      <c r="N552" s="0" t="n">
        <v>2</v>
      </c>
      <c r="O552" s="0" t="n">
        <f aca="false">SUM(K552:N552)</f>
        <v>12</v>
      </c>
      <c r="P552" s="0" t="str">
        <f aca="false">IF(O552&gt;=15,"Yes","No")</f>
        <v>No</v>
      </c>
      <c r="Q552" s="0" t="s">
        <v>70</v>
      </c>
      <c r="R552" s="2" t="n">
        <v>817000</v>
      </c>
      <c r="S552" s="3" t="n">
        <v>0.55</v>
      </c>
      <c r="T552" s="2" t="n">
        <f aca="false">R552*S552</f>
        <v>449350</v>
      </c>
      <c r="U552" s="4" t="s">
        <v>1627</v>
      </c>
    </row>
    <row r="553" customFormat="false" ht="15" hidden="false" customHeight="false" outlineLevel="0" collapsed="false">
      <c r="A553" s="0" t="s">
        <v>1628</v>
      </c>
      <c r="B553" s="0" t="s">
        <v>1629</v>
      </c>
      <c r="C553" s="0" t="s">
        <v>26</v>
      </c>
      <c r="D553" s="0" t="s">
        <v>27</v>
      </c>
      <c r="E553" s="0" t="s">
        <v>28</v>
      </c>
      <c r="F553" s="0" t="s">
        <v>179</v>
      </c>
      <c r="G553" s="0" t="s">
        <v>1501</v>
      </c>
      <c r="H553" s="0" t="s">
        <v>31</v>
      </c>
      <c r="I553" s="0" t="s">
        <v>95</v>
      </c>
      <c r="J553" s="0" t="s">
        <v>78</v>
      </c>
      <c r="K553" s="0" t="n">
        <v>3</v>
      </c>
      <c r="L553" s="0" t="n">
        <v>4</v>
      </c>
      <c r="M553" s="0" t="n">
        <v>5</v>
      </c>
      <c r="N553" s="0" t="n">
        <v>4</v>
      </c>
      <c r="O553" s="0" t="n">
        <f aca="false">SUM(K553:N553)</f>
        <v>16</v>
      </c>
      <c r="P553" s="0" t="str">
        <f aca="false">IF(O553&gt;=15,"Yes","No")</f>
        <v>Yes</v>
      </c>
      <c r="Q553" s="0" t="s">
        <v>46</v>
      </c>
      <c r="R553" s="2" t="n">
        <v>186000</v>
      </c>
      <c r="S553" s="3" t="n">
        <v>0</v>
      </c>
      <c r="T553" s="2" t="n">
        <f aca="false">R553*S553</f>
        <v>0</v>
      </c>
      <c r="U553" s="4" t="s">
        <v>529</v>
      </c>
      <c r="V553" s="4" t="s">
        <v>771</v>
      </c>
      <c r="W553" s="0" t="n">
        <v>44</v>
      </c>
      <c r="X553" s="4" t="s">
        <v>49</v>
      </c>
    </row>
    <row r="554" customFormat="false" ht="15" hidden="false" customHeight="false" outlineLevel="0" collapsed="false">
      <c r="A554" s="0" t="s">
        <v>1630</v>
      </c>
      <c r="B554" s="0" t="s">
        <v>252</v>
      </c>
      <c r="C554" s="0" t="s">
        <v>264</v>
      </c>
      <c r="D554" s="0" t="s">
        <v>64</v>
      </c>
      <c r="E554" s="0" t="s">
        <v>178</v>
      </c>
      <c r="F554" s="0" t="s">
        <v>130</v>
      </c>
      <c r="G554" s="0" t="s">
        <v>1287</v>
      </c>
      <c r="H554" s="0" t="s">
        <v>67</v>
      </c>
      <c r="I554" s="0" t="s">
        <v>924</v>
      </c>
      <c r="J554" s="0" t="s">
        <v>45</v>
      </c>
      <c r="K554" s="0" t="n">
        <v>5</v>
      </c>
      <c r="L554" s="0" t="n">
        <v>4</v>
      </c>
      <c r="M554" s="0" t="n">
        <v>2</v>
      </c>
      <c r="N554" s="0" t="n">
        <v>4</v>
      </c>
      <c r="O554" s="0" t="n">
        <f aca="false">SUM(K554:N554)</f>
        <v>15</v>
      </c>
      <c r="P554" s="0" t="str">
        <f aca="false">IF(O554&gt;=15,"Yes","No")</f>
        <v>Yes</v>
      </c>
      <c r="Q554" s="0" t="s">
        <v>46</v>
      </c>
      <c r="R554" s="2" t="n">
        <v>2716000</v>
      </c>
      <c r="S554" s="3" t="n">
        <v>0</v>
      </c>
      <c r="T554" s="2" t="n">
        <f aca="false">R554*S554</f>
        <v>0</v>
      </c>
      <c r="U554" s="4" t="s">
        <v>279</v>
      </c>
      <c r="V554" s="4" t="s">
        <v>1235</v>
      </c>
      <c r="W554" s="0" t="n">
        <v>52</v>
      </c>
      <c r="X554" s="4" t="s">
        <v>257</v>
      </c>
    </row>
    <row r="555" customFormat="false" ht="15" hidden="false" customHeight="false" outlineLevel="0" collapsed="false">
      <c r="A555" s="0" t="s">
        <v>1631</v>
      </c>
      <c r="B555" s="0" t="s">
        <v>1317</v>
      </c>
      <c r="C555" s="0" t="s">
        <v>264</v>
      </c>
      <c r="D555" s="0" t="s">
        <v>53</v>
      </c>
      <c r="E555" s="0" t="s">
        <v>65</v>
      </c>
      <c r="F555" s="0" t="s">
        <v>55</v>
      </c>
      <c r="G555" s="0" t="s">
        <v>1048</v>
      </c>
      <c r="H555" s="0" t="s">
        <v>31</v>
      </c>
      <c r="I555" s="0" t="s">
        <v>256</v>
      </c>
      <c r="J555" s="0" t="s">
        <v>78</v>
      </c>
      <c r="K555" s="0" t="n">
        <v>5</v>
      </c>
      <c r="L555" s="0" t="n">
        <v>4</v>
      </c>
      <c r="M555" s="0" t="n">
        <v>5</v>
      </c>
      <c r="N555" s="0" t="n">
        <v>3</v>
      </c>
      <c r="O555" s="0" t="n">
        <f aca="false">SUM(K555:N555)</f>
        <v>17</v>
      </c>
      <c r="P555" s="0" t="str">
        <f aca="false">IF(O555&gt;=15,"Yes","No")</f>
        <v>Yes</v>
      </c>
      <c r="Q555" s="0" t="s">
        <v>34</v>
      </c>
      <c r="R555" s="2" t="n">
        <v>611000</v>
      </c>
      <c r="S555" s="3" t="n">
        <v>1</v>
      </c>
      <c r="T555" s="2" t="n">
        <f aca="false">R555*S555</f>
        <v>611000</v>
      </c>
      <c r="U555" s="4" t="s">
        <v>562</v>
      </c>
      <c r="V555" s="4" t="s">
        <v>440</v>
      </c>
      <c r="W555" s="0" t="n">
        <v>33</v>
      </c>
    </row>
    <row r="556" customFormat="false" ht="15" hidden="false" customHeight="false" outlineLevel="0" collapsed="false">
      <c r="A556" s="0" t="s">
        <v>1632</v>
      </c>
      <c r="B556" s="0" t="s">
        <v>1275</v>
      </c>
      <c r="C556" s="0" t="s">
        <v>74</v>
      </c>
      <c r="D556" s="0" t="s">
        <v>53</v>
      </c>
      <c r="E556" s="0" t="s">
        <v>40</v>
      </c>
      <c r="F556" s="0" t="s">
        <v>41</v>
      </c>
      <c r="G556" s="0" t="s">
        <v>416</v>
      </c>
      <c r="H556" s="0" t="s">
        <v>67</v>
      </c>
      <c r="I556" s="0" t="s">
        <v>32</v>
      </c>
      <c r="J556" s="0" t="s">
        <v>33</v>
      </c>
      <c r="K556" s="0" t="n">
        <v>3</v>
      </c>
      <c r="L556" s="0" t="n">
        <v>2</v>
      </c>
      <c r="M556" s="0" t="n">
        <v>4</v>
      </c>
      <c r="N556" s="0" t="n">
        <v>3</v>
      </c>
      <c r="O556" s="0" t="n">
        <f aca="false">SUM(K556:N556)</f>
        <v>12</v>
      </c>
      <c r="P556" s="0" t="str">
        <f aca="false">IF(O556&gt;=15,"Yes","No")</f>
        <v>No</v>
      </c>
      <c r="Q556" s="0" t="s">
        <v>60</v>
      </c>
      <c r="R556" s="2" t="n">
        <v>697000</v>
      </c>
      <c r="S556" s="3" t="n">
        <v>0.15</v>
      </c>
      <c r="T556" s="2" t="n">
        <f aca="false">R556*S556</f>
        <v>104550</v>
      </c>
      <c r="U556" s="4" t="s">
        <v>1633</v>
      </c>
    </row>
    <row r="557" customFormat="false" ht="15" hidden="false" customHeight="false" outlineLevel="0" collapsed="false">
      <c r="A557" s="0" t="s">
        <v>1634</v>
      </c>
      <c r="B557" s="0" t="s">
        <v>1388</v>
      </c>
      <c r="C557" s="0" t="s">
        <v>39</v>
      </c>
      <c r="D557" s="0" t="s">
        <v>53</v>
      </c>
      <c r="E557" s="0" t="s">
        <v>136</v>
      </c>
      <c r="F557" s="0" t="s">
        <v>130</v>
      </c>
      <c r="G557" s="0" t="s">
        <v>1026</v>
      </c>
      <c r="H557" s="0" t="s">
        <v>43</v>
      </c>
      <c r="I557" s="0" t="s">
        <v>962</v>
      </c>
      <c r="J557" s="0" t="s">
        <v>78</v>
      </c>
      <c r="K557" s="0" t="n">
        <v>5</v>
      </c>
      <c r="L557" s="0" t="n">
        <v>4</v>
      </c>
      <c r="M557" s="0" t="n">
        <v>4</v>
      </c>
      <c r="N557" s="0" t="n">
        <v>5</v>
      </c>
      <c r="O557" s="0" t="n">
        <f aca="false">SUM(K557:N557)</f>
        <v>18</v>
      </c>
      <c r="P557" s="0" t="str">
        <f aca="false">IF(O557&gt;=15,"Yes","No")</f>
        <v>Yes</v>
      </c>
      <c r="Q557" s="0" t="s">
        <v>34</v>
      </c>
      <c r="R557" s="2" t="n">
        <v>763000</v>
      </c>
      <c r="S557" s="3" t="n">
        <v>1</v>
      </c>
      <c r="T557" s="2" t="n">
        <f aca="false">R557*S557</f>
        <v>763000</v>
      </c>
      <c r="U557" s="4" t="s">
        <v>302</v>
      </c>
      <c r="V557" s="4" t="s">
        <v>1635</v>
      </c>
      <c r="W557" s="0" t="n">
        <v>34</v>
      </c>
    </row>
    <row r="558" customFormat="false" ht="15" hidden="false" customHeight="false" outlineLevel="0" collapsed="false">
      <c r="A558" s="0" t="s">
        <v>1636</v>
      </c>
      <c r="B558" s="0" t="s">
        <v>863</v>
      </c>
      <c r="C558" s="0" t="s">
        <v>39</v>
      </c>
      <c r="D558" s="0" t="s">
        <v>27</v>
      </c>
      <c r="E558" s="0" t="s">
        <v>105</v>
      </c>
      <c r="F558" s="0" t="s">
        <v>75</v>
      </c>
      <c r="G558" s="0" t="s">
        <v>434</v>
      </c>
      <c r="H558" s="0" t="s">
        <v>86</v>
      </c>
      <c r="I558" s="0" t="s">
        <v>414</v>
      </c>
      <c r="J558" s="0" t="s">
        <v>69</v>
      </c>
      <c r="K558" s="0" t="n">
        <v>1</v>
      </c>
      <c r="L558" s="0" t="n">
        <v>1</v>
      </c>
      <c r="M558" s="0" t="n">
        <v>1</v>
      </c>
      <c r="N558" s="0" t="n">
        <v>1</v>
      </c>
      <c r="O558" s="0" t="n">
        <f aca="false">SUM(K558:N558)</f>
        <v>4</v>
      </c>
      <c r="P558" s="0" t="str">
        <f aca="false">IF(O558&gt;=15,"Yes","No")</f>
        <v>No</v>
      </c>
      <c r="Q558" s="0" t="s">
        <v>46</v>
      </c>
      <c r="R558" s="2" t="n">
        <v>145000</v>
      </c>
      <c r="S558" s="3" t="n">
        <v>0</v>
      </c>
      <c r="T558" s="2" t="n">
        <f aca="false">R558*S558</f>
        <v>0</v>
      </c>
      <c r="U558" s="4" t="s">
        <v>515</v>
      </c>
      <c r="V558" s="4" t="s">
        <v>1013</v>
      </c>
      <c r="W558" s="0" t="n">
        <v>43</v>
      </c>
      <c r="X558" s="4" t="s">
        <v>310</v>
      </c>
    </row>
    <row r="559" customFormat="false" ht="15" hidden="false" customHeight="false" outlineLevel="0" collapsed="false">
      <c r="A559" s="0" t="s">
        <v>1637</v>
      </c>
      <c r="B559" s="0" t="s">
        <v>1638</v>
      </c>
      <c r="C559" s="0" t="s">
        <v>152</v>
      </c>
      <c r="D559" s="0" t="s">
        <v>64</v>
      </c>
      <c r="E559" s="0" t="s">
        <v>28</v>
      </c>
      <c r="F559" s="0" t="s">
        <v>130</v>
      </c>
      <c r="G559" s="0" t="s">
        <v>1578</v>
      </c>
      <c r="H559" s="0" t="s">
        <v>86</v>
      </c>
      <c r="I559" s="0" t="s">
        <v>866</v>
      </c>
      <c r="J559" s="0" t="s">
        <v>45</v>
      </c>
      <c r="K559" s="0" t="n">
        <v>2</v>
      </c>
      <c r="L559" s="0" t="n">
        <v>1</v>
      </c>
      <c r="M559" s="0" t="n">
        <v>1</v>
      </c>
      <c r="N559" s="0" t="n">
        <v>3</v>
      </c>
      <c r="O559" s="0" t="n">
        <f aca="false">SUM(K559:N559)</f>
        <v>7</v>
      </c>
      <c r="P559" s="0" t="str">
        <f aca="false">IF(O559&gt;=15,"Yes","No")</f>
        <v>No</v>
      </c>
      <c r="Q559" s="0" t="s">
        <v>70</v>
      </c>
      <c r="R559" s="2" t="n">
        <v>2910000</v>
      </c>
      <c r="S559" s="3" t="n">
        <v>0.55</v>
      </c>
      <c r="T559" s="2" t="n">
        <f aca="false">R559*S559</f>
        <v>1600500</v>
      </c>
      <c r="U559" s="4" t="s">
        <v>211</v>
      </c>
    </row>
    <row r="560" customFormat="false" ht="15" hidden="false" customHeight="false" outlineLevel="0" collapsed="false">
      <c r="A560" s="0" t="s">
        <v>1639</v>
      </c>
      <c r="B560" s="0" t="s">
        <v>1640</v>
      </c>
      <c r="C560" s="0" t="s">
        <v>39</v>
      </c>
      <c r="D560" s="0" t="s">
        <v>27</v>
      </c>
      <c r="E560" s="0" t="s">
        <v>99</v>
      </c>
      <c r="F560" s="0" t="s">
        <v>55</v>
      </c>
      <c r="G560" s="0" t="s">
        <v>1203</v>
      </c>
      <c r="H560" s="0" t="s">
        <v>43</v>
      </c>
      <c r="I560" s="0" t="s">
        <v>405</v>
      </c>
      <c r="J560" s="0" t="s">
        <v>33</v>
      </c>
      <c r="K560" s="0" t="n">
        <v>5</v>
      </c>
      <c r="L560" s="0" t="n">
        <v>3</v>
      </c>
      <c r="M560" s="0" t="n">
        <v>4</v>
      </c>
      <c r="N560" s="0" t="n">
        <v>5</v>
      </c>
      <c r="O560" s="0" t="n">
        <f aca="false">SUM(K560:N560)</f>
        <v>17</v>
      </c>
      <c r="P560" s="0" t="str">
        <f aca="false">IF(O560&gt;=15,"Yes","No")</f>
        <v>Yes</v>
      </c>
      <c r="Q560" s="0" t="s">
        <v>60</v>
      </c>
      <c r="R560" s="2" t="n">
        <v>189000</v>
      </c>
      <c r="S560" s="3" t="n">
        <v>0.15</v>
      </c>
      <c r="T560" s="2" t="n">
        <f aca="false">R560*S560</f>
        <v>28350</v>
      </c>
      <c r="U560" s="4" t="s">
        <v>351</v>
      </c>
    </row>
    <row r="561" customFormat="false" ht="15" hidden="false" customHeight="false" outlineLevel="0" collapsed="false">
      <c r="A561" s="0" t="s">
        <v>1641</v>
      </c>
      <c r="B561" s="0" t="s">
        <v>1642</v>
      </c>
      <c r="C561" s="0" t="s">
        <v>184</v>
      </c>
      <c r="D561" s="0" t="s">
        <v>53</v>
      </c>
      <c r="E561" s="0" t="s">
        <v>215</v>
      </c>
      <c r="F561" s="0" t="s">
        <v>112</v>
      </c>
      <c r="G561" s="0" t="s">
        <v>1643</v>
      </c>
      <c r="H561" s="0" t="s">
        <v>86</v>
      </c>
      <c r="I561" s="0" t="s">
        <v>1235</v>
      </c>
      <c r="J561" s="0" t="s">
        <v>45</v>
      </c>
      <c r="K561" s="0" t="n">
        <v>4</v>
      </c>
      <c r="L561" s="0" t="n">
        <v>1</v>
      </c>
      <c r="M561" s="0" t="n">
        <v>1</v>
      </c>
      <c r="N561" s="0" t="n">
        <v>1</v>
      </c>
      <c r="O561" s="0" t="n">
        <f aca="false">SUM(K561:N561)</f>
        <v>7</v>
      </c>
      <c r="P561" s="0" t="str">
        <f aca="false">IF(O561&gt;=15,"Yes","No")</f>
        <v>No</v>
      </c>
      <c r="Q561" s="0" t="s">
        <v>159</v>
      </c>
      <c r="R561" s="2" t="n">
        <v>670000</v>
      </c>
      <c r="S561" s="3" t="n">
        <v>0.05</v>
      </c>
      <c r="T561" s="2" t="n">
        <f aca="false">R561*S561</f>
        <v>33500</v>
      </c>
      <c r="U561" s="4" t="s">
        <v>68</v>
      </c>
    </row>
    <row r="562" customFormat="false" ht="15" hidden="false" customHeight="false" outlineLevel="0" collapsed="false">
      <c r="A562" s="0" t="s">
        <v>1644</v>
      </c>
      <c r="B562" s="0" t="s">
        <v>1401</v>
      </c>
      <c r="C562" s="0" t="s">
        <v>52</v>
      </c>
      <c r="D562" s="0" t="s">
        <v>27</v>
      </c>
      <c r="E562" s="0" t="s">
        <v>54</v>
      </c>
      <c r="F562" s="0" t="s">
        <v>153</v>
      </c>
      <c r="G562" s="0" t="s">
        <v>1645</v>
      </c>
      <c r="H562" s="0" t="s">
        <v>67</v>
      </c>
      <c r="I562" s="0" t="s">
        <v>896</v>
      </c>
      <c r="J562" s="0" t="s">
        <v>69</v>
      </c>
      <c r="K562" s="0" t="n">
        <v>3</v>
      </c>
      <c r="L562" s="0" t="n">
        <v>4</v>
      </c>
      <c r="M562" s="0" t="n">
        <v>3</v>
      </c>
      <c r="N562" s="0" t="n">
        <v>3</v>
      </c>
      <c r="O562" s="0" t="n">
        <f aca="false">SUM(K562:N562)</f>
        <v>13</v>
      </c>
      <c r="P562" s="0" t="str">
        <f aca="false">IF(O562&gt;=15,"Yes","No")</f>
        <v>No</v>
      </c>
      <c r="Q562" s="0" t="s">
        <v>159</v>
      </c>
      <c r="R562" s="2" t="n">
        <v>185000</v>
      </c>
      <c r="S562" s="3" t="n">
        <v>0.05</v>
      </c>
      <c r="T562" s="2" t="n">
        <f aca="false">R562*S562</f>
        <v>9250</v>
      </c>
      <c r="U562" s="4" t="s">
        <v>1149</v>
      </c>
    </row>
    <row r="563" customFormat="false" ht="15" hidden="false" customHeight="false" outlineLevel="0" collapsed="false">
      <c r="A563" s="0" t="s">
        <v>1646</v>
      </c>
      <c r="B563" s="0" t="s">
        <v>312</v>
      </c>
      <c r="C563" s="0" t="s">
        <v>184</v>
      </c>
      <c r="D563" s="0" t="s">
        <v>53</v>
      </c>
      <c r="E563" s="0" t="s">
        <v>92</v>
      </c>
      <c r="F563" s="0" t="s">
        <v>41</v>
      </c>
      <c r="G563" s="0" t="s">
        <v>93</v>
      </c>
      <c r="H563" s="0" t="s">
        <v>57</v>
      </c>
      <c r="I563" s="0" t="s">
        <v>116</v>
      </c>
      <c r="J563" s="0" t="s">
        <v>69</v>
      </c>
      <c r="K563" s="0" t="n">
        <v>3</v>
      </c>
      <c r="L563" s="0" t="n">
        <v>1</v>
      </c>
      <c r="M563" s="0" t="n">
        <v>3</v>
      </c>
      <c r="N563" s="0" t="n">
        <v>1</v>
      </c>
      <c r="O563" s="0" t="n">
        <f aca="false">SUM(K563:N563)</f>
        <v>8</v>
      </c>
      <c r="P563" s="0" t="str">
        <f aca="false">IF(O563&gt;=15,"Yes","No")</f>
        <v>No</v>
      </c>
      <c r="Q563" s="0" t="s">
        <v>159</v>
      </c>
      <c r="R563" s="2" t="n">
        <v>774000</v>
      </c>
      <c r="S563" s="3" t="n">
        <v>0.05</v>
      </c>
      <c r="T563" s="2" t="n">
        <f aca="false">R563*S563</f>
        <v>38700</v>
      </c>
      <c r="U563" s="4" t="s">
        <v>1599</v>
      </c>
    </row>
    <row r="564" customFormat="false" ht="15" hidden="false" customHeight="false" outlineLevel="0" collapsed="false">
      <c r="A564" s="0" t="s">
        <v>1647</v>
      </c>
      <c r="B564" s="0" t="s">
        <v>342</v>
      </c>
      <c r="C564" s="0" t="s">
        <v>39</v>
      </c>
      <c r="D564" s="0" t="s">
        <v>27</v>
      </c>
      <c r="E564" s="0" t="s">
        <v>54</v>
      </c>
      <c r="F564" s="0" t="s">
        <v>130</v>
      </c>
      <c r="G564" s="0" t="s">
        <v>265</v>
      </c>
      <c r="H564" s="0" t="s">
        <v>67</v>
      </c>
      <c r="I564" s="0" t="s">
        <v>79</v>
      </c>
      <c r="J564" s="0" t="s">
        <v>33</v>
      </c>
      <c r="K564" s="0" t="n">
        <v>2</v>
      </c>
      <c r="L564" s="0" t="n">
        <v>2</v>
      </c>
      <c r="M564" s="0" t="n">
        <v>1</v>
      </c>
      <c r="N564" s="0" t="n">
        <v>3</v>
      </c>
      <c r="O564" s="0" t="n">
        <f aca="false">SUM(K564:N564)</f>
        <v>8</v>
      </c>
      <c r="P564" s="0" t="str">
        <f aca="false">IF(O564&gt;=15,"Yes","No")</f>
        <v>No</v>
      </c>
      <c r="Q564" s="0" t="s">
        <v>159</v>
      </c>
      <c r="R564" s="2" t="n">
        <v>231000</v>
      </c>
      <c r="S564" s="3" t="n">
        <v>0.05</v>
      </c>
      <c r="T564" s="2" t="n">
        <f aca="false">R564*S564</f>
        <v>11550</v>
      </c>
      <c r="U564" s="4" t="s">
        <v>1250</v>
      </c>
    </row>
    <row r="565" customFormat="false" ht="15" hidden="false" customHeight="false" outlineLevel="0" collapsed="false">
      <c r="A565" s="0" t="s">
        <v>1648</v>
      </c>
      <c r="B565" s="0" t="s">
        <v>728</v>
      </c>
      <c r="C565" s="0" t="s">
        <v>184</v>
      </c>
      <c r="D565" s="0" t="s">
        <v>27</v>
      </c>
      <c r="E565" s="0" t="s">
        <v>99</v>
      </c>
      <c r="F565" s="0" t="s">
        <v>153</v>
      </c>
      <c r="G565" s="0" t="s">
        <v>729</v>
      </c>
      <c r="H565" s="0" t="s">
        <v>248</v>
      </c>
      <c r="I565" s="0" t="s">
        <v>329</v>
      </c>
      <c r="J565" s="0" t="s">
        <v>69</v>
      </c>
      <c r="K565" s="0" t="n">
        <v>2</v>
      </c>
      <c r="L565" s="0" t="n">
        <v>3</v>
      </c>
      <c r="M565" s="0" t="n">
        <v>4</v>
      </c>
      <c r="N565" s="0" t="n">
        <v>5</v>
      </c>
      <c r="O565" s="0" t="n">
        <f aca="false">SUM(K565:N565)</f>
        <v>14</v>
      </c>
      <c r="P565" s="0" t="str">
        <f aca="false">IF(O565&gt;=15,"Yes","No")</f>
        <v>No</v>
      </c>
      <c r="Q565" s="0" t="s">
        <v>46</v>
      </c>
      <c r="R565" s="2" t="n">
        <v>179000</v>
      </c>
      <c r="S565" s="3" t="n">
        <v>0</v>
      </c>
      <c r="T565" s="2" t="n">
        <f aca="false">R565*S565</f>
        <v>0</v>
      </c>
      <c r="U565" s="4" t="s">
        <v>256</v>
      </c>
      <c r="V565" s="4" t="s">
        <v>704</v>
      </c>
      <c r="W565" s="0" t="n">
        <v>30</v>
      </c>
      <c r="X565" s="4" t="s">
        <v>49</v>
      </c>
    </row>
    <row r="566" customFormat="false" ht="15" hidden="false" customHeight="false" outlineLevel="0" collapsed="false">
      <c r="A566" s="0" t="s">
        <v>1649</v>
      </c>
      <c r="B566" s="0" t="s">
        <v>1439</v>
      </c>
      <c r="C566" s="0" t="s">
        <v>26</v>
      </c>
      <c r="D566" s="0" t="s">
        <v>53</v>
      </c>
      <c r="E566" s="0" t="s">
        <v>195</v>
      </c>
      <c r="F566" s="0" t="s">
        <v>75</v>
      </c>
      <c r="G566" s="0" t="s">
        <v>640</v>
      </c>
      <c r="H566" s="0" t="s">
        <v>86</v>
      </c>
      <c r="I566" s="0" t="s">
        <v>228</v>
      </c>
      <c r="J566" s="0" t="s">
        <v>45</v>
      </c>
      <c r="K566" s="0" t="n">
        <v>1</v>
      </c>
      <c r="L566" s="0" t="n">
        <v>4</v>
      </c>
      <c r="M566" s="0" t="n">
        <v>1</v>
      </c>
      <c r="N566" s="0" t="n">
        <v>1</v>
      </c>
      <c r="O566" s="0" t="n">
        <f aca="false">SUM(K566:N566)</f>
        <v>7</v>
      </c>
      <c r="P566" s="0" t="str">
        <f aca="false">IF(O566&gt;=15,"Yes","No")</f>
        <v>No</v>
      </c>
      <c r="Q566" s="0" t="s">
        <v>159</v>
      </c>
      <c r="R566" s="2" t="n">
        <v>730000</v>
      </c>
      <c r="S566" s="3" t="n">
        <v>0.05</v>
      </c>
      <c r="T566" s="2" t="n">
        <f aca="false">R566*S566</f>
        <v>36500</v>
      </c>
      <c r="U566" s="4" t="s">
        <v>436</v>
      </c>
    </row>
    <row r="567" customFormat="false" ht="15" hidden="false" customHeight="false" outlineLevel="0" collapsed="false">
      <c r="A567" s="0" t="s">
        <v>1650</v>
      </c>
      <c r="B567" s="0" t="s">
        <v>1651</v>
      </c>
      <c r="C567" s="0" t="s">
        <v>26</v>
      </c>
      <c r="D567" s="0" t="s">
        <v>53</v>
      </c>
      <c r="E567" s="0" t="s">
        <v>84</v>
      </c>
      <c r="F567" s="0" t="s">
        <v>41</v>
      </c>
      <c r="G567" s="0" t="s">
        <v>278</v>
      </c>
      <c r="H567" s="0" t="s">
        <v>86</v>
      </c>
      <c r="I567" s="0" t="s">
        <v>102</v>
      </c>
      <c r="J567" s="0" t="s">
        <v>33</v>
      </c>
      <c r="K567" s="0" t="n">
        <v>1</v>
      </c>
      <c r="L567" s="0" t="n">
        <v>1</v>
      </c>
      <c r="M567" s="0" t="n">
        <v>1</v>
      </c>
      <c r="N567" s="0" t="n">
        <v>2</v>
      </c>
      <c r="O567" s="0" t="n">
        <f aca="false">SUM(K567:N567)</f>
        <v>5</v>
      </c>
      <c r="P567" s="0" t="str">
        <f aca="false">IF(O567&gt;=15,"Yes","No")</f>
        <v>No</v>
      </c>
      <c r="Q567" s="0" t="s">
        <v>46</v>
      </c>
      <c r="R567" s="2" t="n">
        <v>750000</v>
      </c>
      <c r="S567" s="3" t="n">
        <v>0</v>
      </c>
      <c r="T567" s="2" t="n">
        <f aca="false">R567*S567</f>
        <v>0</v>
      </c>
      <c r="U567" s="4" t="s">
        <v>1103</v>
      </c>
      <c r="V567" s="4" t="s">
        <v>1141</v>
      </c>
      <c r="W567" s="0" t="n">
        <v>16</v>
      </c>
      <c r="X567" s="4" t="s">
        <v>326</v>
      </c>
    </row>
    <row r="568" customFormat="false" ht="15" hidden="false" customHeight="false" outlineLevel="0" collapsed="false">
      <c r="A568" s="0" t="s">
        <v>1652</v>
      </c>
      <c r="B568" s="0" t="s">
        <v>692</v>
      </c>
      <c r="C568" s="0" t="s">
        <v>26</v>
      </c>
      <c r="D568" s="0" t="s">
        <v>53</v>
      </c>
      <c r="E568" s="0" t="s">
        <v>119</v>
      </c>
      <c r="F568" s="0" t="s">
        <v>41</v>
      </c>
      <c r="G568" s="0" t="s">
        <v>706</v>
      </c>
      <c r="H568" s="0" t="s">
        <v>86</v>
      </c>
      <c r="I568" s="0" t="s">
        <v>1241</v>
      </c>
      <c r="J568" s="0" t="s">
        <v>33</v>
      </c>
      <c r="K568" s="0" t="n">
        <v>1</v>
      </c>
      <c r="L568" s="0" t="n">
        <v>1</v>
      </c>
      <c r="M568" s="0" t="n">
        <v>1</v>
      </c>
      <c r="N568" s="0" t="n">
        <v>1</v>
      </c>
      <c r="O568" s="0" t="n">
        <f aca="false">SUM(K568:N568)</f>
        <v>4</v>
      </c>
      <c r="P568" s="0" t="str">
        <f aca="false">IF(O568&gt;=15,"Yes","No")</f>
        <v>No</v>
      </c>
      <c r="Q568" s="0" t="s">
        <v>159</v>
      </c>
      <c r="R568" s="2" t="n">
        <v>710000</v>
      </c>
      <c r="S568" s="3" t="n">
        <v>0.05</v>
      </c>
      <c r="T568" s="2" t="n">
        <f aca="false">R568*S568</f>
        <v>35500</v>
      </c>
      <c r="U568" s="4" t="s">
        <v>764</v>
      </c>
    </row>
    <row r="569" customFormat="false" ht="15" hidden="false" customHeight="false" outlineLevel="0" collapsed="false">
      <c r="A569" s="0" t="s">
        <v>1653</v>
      </c>
      <c r="B569" s="0" t="s">
        <v>609</v>
      </c>
      <c r="C569" s="0" t="s">
        <v>129</v>
      </c>
      <c r="D569" s="0" t="s">
        <v>53</v>
      </c>
      <c r="E569" s="0" t="s">
        <v>65</v>
      </c>
      <c r="F569" s="0" t="s">
        <v>41</v>
      </c>
      <c r="G569" s="0" t="s">
        <v>1654</v>
      </c>
      <c r="H569" s="0" t="s">
        <v>31</v>
      </c>
      <c r="I569" s="0" t="s">
        <v>1198</v>
      </c>
      <c r="J569" s="0" t="s">
        <v>69</v>
      </c>
      <c r="K569" s="0" t="n">
        <v>1</v>
      </c>
      <c r="L569" s="0" t="n">
        <v>4</v>
      </c>
      <c r="M569" s="0" t="n">
        <v>4</v>
      </c>
      <c r="N569" s="0" t="n">
        <v>2</v>
      </c>
      <c r="O569" s="0" t="n">
        <f aca="false">SUM(K569:N569)</f>
        <v>11</v>
      </c>
      <c r="P569" s="0" t="str">
        <f aca="false">IF(O569&gt;=15,"Yes","No")</f>
        <v>No</v>
      </c>
      <c r="Q569" s="0" t="s">
        <v>60</v>
      </c>
      <c r="R569" s="2" t="n">
        <v>887000</v>
      </c>
      <c r="S569" s="3" t="n">
        <v>0.15</v>
      </c>
      <c r="T569" s="2" t="n">
        <f aca="false">R569*S569</f>
        <v>133050</v>
      </c>
      <c r="U569" s="4" t="s">
        <v>866</v>
      </c>
    </row>
    <row r="570" customFormat="false" ht="15" hidden="false" customHeight="false" outlineLevel="0" collapsed="false">
      <c r="A570" s="0" t="s">
        <v>1655</v>
      </c>
      <c r="B570" s="0" t="s">
        <v>220</v>
      </c>
      <c r="C570" s="0" t="s">
        <v>39</v>
      </c>
      <c r="D570" s="0" t="s">
        <v>64</v>
      </c>
      <c r="E570" s="0" t="s">
        <v>119</v>
      </c>
      <c r="F570" s="0" t="s">
        <v>112</v>
      </c>
      <c r="G570" s="0" t="s">
        <v>1656</v>
      </c>
      <c r="H570" s="0" t="s">
        <v>86</v>
      </c>
      <c r="I570" s="0" t="s">
        <v>495</v>
      </c>
      <c r="J570" s="0" t="s">
        <v>59</v>
      </c>
      <c r="K570" s="0" t="n">
        <v>3</v>
      </c>
      <c r="L570" s="0" t="n">
        <v>1</v>
      </c>
      <c r="M570" s="0" t="n">
        <v>2</v>
      </c>
      <c r="N570" s="0" t="n">
        <v>1</v>
      </c>
      <c r="O570" s="0" t="n">
        <f aca="false">SUM(K570:N570)</f>
        <v>7</v>
      </c>
      <c r="P570" s="0" t="str">
        <f aca="false">IF(O570&gt;=15,"Yes","No")</f>
        <v>No</v>
      </c>
      <c r="Q570" s="0" t="s">
        <v>159</v>
      </c>
      <c r="R570" s="2" t="n">
        <v>2474000</v>
      </c>
      <c r="S570" s="3" t="n">
        <v>0.05</v>
      </c>
      <c r="T570" s="2" t="n">
        <f aca="false">R570*S570</f>
        <v>123700</v>
      </c>
      <c r="U570" s="4" t="s">
        <v>156</v>
      </c>
    </row>
    <row r="571" customFormat="false" ht="15" hidden="false" customHeight="false" outlineLevel="0" collapsed="false">
      <c r="A571" s="0" t="s">
        <v>1657</v>
      </c>
      <c r="B571" s="0" t="s">
        <v>1109</v>
      </c>
      <c r="C571" s="0" t="s">
        <v>39</v>
      </c>
      <c r="D571" s="0" t="s">
        <v>27</v>
      </c>
      <c r="E571" s="0" t="s">
        <v>215</v>
      </c>
      <c r="F571" s="0" t="s">
        <v>29</v>
      </c>
      <c r="G571" s="0" t="s">
        <v>1055</v>
      </c>
      <c r="H571" s="0" t="s">
        <v>248</v>
      </c>
      <c r="I571" s="0" t="s">
        <v>79</v>
      </c>
      <c r="J571" s="0" t="s">
        <v>69</v>
      </c>
      <c r="K571" s="0" t="n">
        <v>2</v>
      </c>
      <c r="L571" s="0" t="n">
        <v>5</v>
      </c>
      <c r="M571" s="0" t="n">
        <v>1</v>
      </c>
      <c r="N571" s="0" t="n">
        <v>1</v>
      </c>
      <c r="O571" s="0" t="n">
        <f aca="false">SUM(K571:N571)</f>
        <v>9</v>
      </c>
      <c r="P571" s="0" t="str">
        <f aca="false">IF(O571&gt;=15,"Yes","No")</f>
        <v>No</v>
      </c>
      <c r="Q571" s="0" t="s">
        <v>115</v>
      </c>
      <c r="R571" s="2" t="n">
        <v>241000</v>
      </c>
      <c r="S571" s="3" t="n">
        <v>0.35</v>
      </c>
      <c r="T571" s="2" t="n">
        <f aca="false">R571*S571</f>
        <v>84350</v>
      </c>
      <c r="U571" s="4" t="s">
        <v>1658</v>
      </c>
    </row>
    <row r="572" customFormat="false" ht="15" hidden="false" customHeight="false" outlineLevel="0" collapsed="false">
      <c r="A572" s="0" t="s">
        <v>1659</v>
      </c>
      <c r="B572" s="0" t="s">
        <v>1046</v>
      </c>
      <c r="C572" s="0" t="s">
        <v>74</v>
      </c>
      <c r="D572" s="0" t="s">
        <v>27</v>
      </c>
      <c r="E572" s="0" t="s">
        <v>178</v>
      </c>
      <c r="F572" s="0" t="s">
        <v>112</v>
      </c>
      <c r="G572" s="0" t="s">
        <v>1311</v>
      </c>
      <c r="H572" s="0" t="s">
        <v>248</v>
      </c>
      <c r="I572" s="0" t="s">
        <v>1660</v>
      </c>
      <c r="J572" s="0" t="s">
        <v>45</v>
      </c>
      <c r="K572" s="0" t="n">
        <v>4</v>
      </c>
      <c r="L572" s="0" t="n">
        <v>1</v>
      </c>
      <c r="M572" s="0" t="n">
        <v>3</v>
      </c>
      <c r="N572" s="0" t="n">
        <v>4</v>
      </c>
      <c r="O572" s="0" t="n">
        <f aca="false">SUM(K572:N572)</f>
        <v>12</v>
      </c>
      <c r="P572" s="0" t="str">
        <f aca="false">IF(O572&gt;=15,"Yes","No")</f>
        <v>No</v>
      </c>
      <c r="Q572" s="0" t="s">
        <v>60</v>
      </c>
      <c r="R572" s="2" t="n">
        <v>196000</v>
      </c>
      <c r="S572" s="3" t="n">
        <v>0.15</v>
      </c>
      <c r="T572" s="2" t="n">
        <f aca="false">R572*S572</f>
        <v>29400</v>
      </c>
      <c r="U572" s="4" t="s">
        <v>1661</v>
      </c>
    </row>
    <row r="573" customFormat="false" ht="15" hidden="false" customHeight="false" outlineLevel="0" collapsed="false">
      <c r="A573" s="0" t="s">
        <v>1662</v>
      </c>
      <c r="B573" s="0" t="s">
        <v>798</v>
      </c>
      <c r="C573" s="0" t="s">
        <v>52</v>
      </c>
      <c r="D573" s="0" t="s">
        <v>53</v>
      </c>
      <c r="E573" s="0" t="s">
        <v>105</v>
      </c>
      <c r="F573" s="0" t="s">
        <v>41</v>
      </c>
      <c r="G573" s="0" t="s">
        <v>1458</v>
      </c>
      <c r="H573" s="0" t="s">
        <v>67</v>
      </c>
      <c r="I573" s="0" t="s">
        <v>198</v>
      </c>
      <c r="J573" s="0" t="s">
        <v>59</v>
      </c>
      <c r="K573" s="0" t="n">
        <v>2</v>
      </c>
      <c r="L573" s="0" t="n">
        <v>1</v>
      </c>
      <c r="M573" s="0" t="n">
        <v>3</v>
      </c>
      <c r="N573" s="0" t="n">
        <v>5</v>
      </c>
      <c r="O573" s="0" t="n">
        <f aca="false">SUM(K573:N573)</f>
        <v>11</v>
      </c>
      <c r="P573" s="0" t="str">
        <f aca="false">IF(O573&gt;=15,"Yes","No")</f>
        <v>No</v>
      </c>
      <c r="Q573" s="0" t="s">
        <v>159</v>
      </c>
      <c r="R573" s="2" t="n">
        <v>865000</v>
      </c>
      <c r="S573" s="3" t="n">
        <v>0.05</v>
      </c>
      <c r="T573" s="2" t="n">
        <f aca="false">R573*S573</f>
        <v>43250</v>
      </c>
      <c r="U573" s="4" t="s">
        <v>810</v>
      </c>
    </row>
    <row r="574" customFormat="false" ht="15" hidden="false" customHeight="false" outlineLevel="0" collapsed="false">
      <c r="A574" s="0" t="s">
        <v>1663</v>
      </c>
      <c r="B574" s="0" t="s">
        <v>98</v>
      </c>
      <c r="C574" s="0" t="s">
        <v>52</v>
      </c>
      <c r="D574" s="0" t="s">
        <v>53</v>
      </c>
      <c r="E574" s="0" t="s">
        <v>99</v>
      </c>
      <c r="F574" s="0" t="s">
        <v>41</v>
      </c>
      <c r="G574" s="0" t="s">
        <v>100</v>
      </c>
      <c r="H574" s="0" t="s">
        <v>67</v>
      </c>
      <c r="I574" s="0" t="s">
        <v>207</v>
      </c>
      <c r="J574" s="0" t="s">
        <v>45</v>
      </c>
      <c r="K574" s="0" t="n">
        <v>4</v>
      </c>
      <c r="L574" s="0" t="n">
        <v>3</v>
      </c>
      <c r="M574" s="0" t="n">
        <v>2</v>
      </c>
      <c r="N574" s="0" t="n">
        <v>3</v>
      </c>
      <c r="O574" s="0" t="n">
        <f aca="false">SUM(K574:N574)</f>
        <v>12</v>
      </c>
      <c r="P574" s="0" t="str">
        <f aca="false">IF(O574&gt;=15,"Yes","No")</f>
        <v>No</v>
      </c>
      <c r="Q574" s="0" t="s">
        <v>60</v>
      </c>
      <c r="R574" s="2" t="n">
        <v>541000</v>
      </c>
      <c r="S574" s="3" t="n">
        <v>0.15</v>
      </c>
      <c r="T574" s="2" t="n">
        <f aca="false">R574*S574</f>
        <v>81150</v>
      </c>
      <c r="U574" s="4" t="s">
        <v>520</v>
      </c>
    </row>
    <row r="575" customFormat="false" ht="15" hidden="false" customHeight="false" outlineLevel="0" collapsed="false">
      <c r="A575" s="0" t="s">
        <v>1664</v>
      </c>
      <c r="B575" s="0" t="s">
        <v>73</v>
      </c>
      <c r="C575" s="0" t="s">
        <v>26</v>
      </c>
      <c r="D575" s="0" t="s">
        <v>53</v>
      </c>
      <c r="E575" s="0" t="s">
        <v>322</v>
      </c>
      <c r="F575" s="0" t="s">
        <v>130</v>
      </c>
      <c r="G575" s="0" t="s">
        <v>1665</v>
      </c>
      <c r="H575" s="0" t="s">
        <v>86</v>
      </c>
      <c r="I575" s="0" t="s">
        <v>32</v>
      </c>
      <c r="J575" s="0" t="s">
        <v>59</v>
      </c>
      <c r="K575" s="0" t="n">
        <v>2</v>
      </c>
      <c r="L575" s="0" t="n">
        <v>1</v>
      </c>
      <c r="M575" s="0" t="n">
        <v>2</v>
      </c>
      <c r="N575" s="0" t="n">
        <v>2</v>
      </c>
      <c r="O575" s="0" t="n">
        <f aca="false">SUM(K575:N575)</f>
        <v>7</v>
      </c>
      <c r="P575" s="0" t="str">
        <f aca="false">IF(O575&gt;=15,"Yes","No")</f>
        <v>No</v>
      </c>
      <c r="Q575" s="0" t="s">
        <v>159</v>
      </c>
      <c r="R575" s="2" t="n">
        <v>617000</v>
      </c>
      <c r="S575" s="3" t="n">
        <v>0.05</v>
      </c>
      <c r="T575" s="2" t="n">
        <f aca="false">R575*S575</f>
        <v>30850</v>
      </c>
      <c r="U575" s="4" t="s">
        <v>810</v>
      </c>
    </row>
    <row r="576" customFormat="false" ht="15" hidden="false" customHeight="false" outlineLevel="0" collapsed="false">
      <c r="A576" s="0" t="s">
        <v>1666</v>
      </c>
      <c r="B576" s="0" t="s">
        <v>246</v>
      </c>
      <c r="C576" s="0" t="s">
        <v>26</v>
      </c>
      <c r="D576" s="0" t="s">
        <v>64</v>
      </c>
      <c r="E576" s="0" t="s">
        <v>322</v>
      </c>
      <c r="F576" s="0" t="s">
        <v>41</v>
      </c>
      <c r="G576" s="0" t="s">
        <v>1667</v>
      </c>
      <c r="H576" s="0" t="s">
        <v>86</v>
      </c>
      <c r="I576" s="0" t="s">
        <v>467</v>
      </c>
      <c r="J576" s="0" t="s">
        <v>78</v>
      </c>
      <c r="K576" s="0" t="n">
        <v>1</v>
      </c>
      <c r="L576" s="0" t="n">
        <v>1</v>
      </c>
      <c r="M576" s="0" t="n">
        <v>1</v>
      </c>
      <c r="N576" s="0" t="n">
        <v>2</v>
      </c>
      <c r="O576" s="0" t="n">
        <f aca="false">SUM(K576:N576)</f>
        <v>5</v>
      </c>
      <c r="P576" s="0" t="str">
        <f aca="false">IF(O576&gt;=15,"Yes","No")</f>
        <v>No</v>
      </c>
      <c r="Q576" s="0" t="s">
        <v>46</v>
      </c>
      <c r="R576" s="2" t="n">
        <v>2406000</v>
      </c>
      <c r="S576" s="3" t="n">
        <v>0</v>
      </c>
      <c r="T576" s="2" t="n">
        <f aca="false">R576*S576</f>
        <v>0</v>
      </c>
      <c r="U576" s="4" t="s">
        <v>330</v>
      </c>
      <c r="V576" s="4" t="s">
        <v>718</v>
      </c>
      <c r="W576" s="0" t="n">
        <v>25</v>
      </c>
      <c r="X576" s="4" t="s">
        <v>310</v>
      </c>
    </row>
    <row r="577" customFormat="false" ht="15" hidden="false" customHeight="false" outlineLevel="0" collapsed="false">
      <c r="A577" s="0" t="s">
        <v>1668</v>
      </c>
      <c r="B577" s="0" t="s">
        <v>368</v>
      </c>
      <c r="C577" s="0" t="s">
        <v>74</v>
      </c>
      <c r="D577" s="0" t="s">
        <v>27</v>
      </c>
      <c r="E577" s="0" t="s">
        <v>54</v>
      </c>
      <c r="F577" s="0" t="s">
        <v>112</v>
      </c>
      <c r="G577" s="0" t="s">
        <v>1669</v>
      </c>
      <c r="H577" s="0" t="s">
        <v>248</v>
      </c>
      <c r="I577" s="0" t="s">
        <v>696</v>
      </c>
      <c r="J577" s="0" t="s">
        <v>78</v>
      </c>
      <c r="K577" s="0" t="n">
        <v>4</v>
      </c>
      <c r="L577" s="0" t="n">
        <v>2</v>
      </c>
      <c r="M577" s="0" t="n">
        <v>2</v>
      </c>
      <c r="N577" s="0" t="n">
        <v>3</v>
      </c>
      <c r="O577" s="0" t="n">
        <f aca="false">SUM(K577:N577)</f>
        <v>11</v>
      </c>
      <c r="P577" s="0" t="str">
        <f aca="false">IF(O577&gt;=15,"Yes","No")</f>
        <v>No</v>
      </c>
      <c r="Q577" s="0" t="s">
        <v>70</v>
      </c>
      <c r="R577" s="2" t="n">
        <v>171000</v>
      </c>
      <c r="S577" s="3" t="n">
        <v>0.55</v>
      </c>
      <c r="T577" s="2" t="n">
        <f aca="false">R577*S577</f>
        <v>94050</v>
      </c>
      <c r="U577" s="4" t="s">
        <v>71</v>
      </c>
    </row>
    <row r="578" customFormat="false" ht="15" hidden="false" customHeight="false" outlineLevel="0" collapsed="false">
      <c r="A578" s="0" t="s">
        <v>1670</v>
      </c>
      <c r="B578" s="0" t="s">
        <v>538</v>
      </c>
      <c r="C578" s="0" t="s">
        <v>26</v>
      </c>
      <c r="D578" s="0" t="s">
        <v>27</v>
      </c>
      <c r="E578" s="0" t="s">
        <v>105</v>
      </c>
      <c r="F578" s="0" t="s">
        <v>112</v>
      </c>
      <c r="G578" s="0" t="s">
        <v>434</v>
      </c>
      <c r="H578" s="0" t="s">
        <v>43</v>
      </c>
      <c r="I578" s="0" t="s">
        <v>480</v>
      </c>
      <c r="J578" s="0" t="s">
        <v>33</v>
      </c>
      <c r="K578" s="0" t="n">
        <v>4</v>
      </c>
      <c r="L578" s="0" t="n">
        <v>4</v>
      </c>
      <c r="M578" s="0" t="n">
        <v>5</v>
      </c>
      <c r="N578" s="0" t="n">
        <v>4</v>
      </c>
      <c r="O578" s="0" t="n">
        <f aca="false">SUM(K578:N578)</f>
        <v>17</v>
      </c>
      <c r="P578" s="0" t="str">
        <f aca="false">IF(O578&gt;=15,"Yes","No")</f>
        <v>Yes</v>
      </c>
      <c r="Q578" s="0" t="s">
        <v>60</v>
      </c>
      <c r="R578" s="2" t="n">
        <v>160000</v>
      </c>
      <c r="S578" s="3" t="n">
        <v>0.15</v>
      </c>
      <c r="T578" s="2" t="n">
        <f aca="false">R578*S578</f>
        <v>24000</v>
      </c>
      <c r="U578" s="4" t="s">
        <v>540</v>
      </c>
    </row>
    <row r="579" customFormat="false" ht="15" hidden="false" customHeight="false" outlineLevel="0" collapsed="false">
      <c r="A579" s="0" t="s">
        <v>1671</v>
      </c>
      <c r="B579" s="0" t="s">
        <v>200</v>
      </c>
      <c r="C579" s="0" t="s">
        <v>26</v>
      </c>
      <c r="D579" s="0" t="s">
        <v>27</v>
      </c>
      <c r="E579" s="0" t="s">
        <v>84</v>
      </c>
      <c r="F579" s="0" t="s">
        <v>29</v>
      </c>
      <c r="G579" s="0" t="s">
        <v>1623</v>
      </c>
      <c r="H579" s="0" t="s">
        <v>43</v>
      </c>
      <c r="I579" s="0" t="s">
        <v>256</v>
      </c>
      <c r="J579" s="0" t="s">
        <v>33</v>
      </c>
      <c r="K579" s="0" t="n">
        <v>5</v>
      </c>
      <c r="L579" s="0" t="n">
        <v>3</v>
      </c>
      <c r="M579" s="0" t="n">
        <v>4</v>
      </c>
      <c r="N579" s="0" t="n">
        <v>3</v>
      </c>
      <c r="O579" s="0" t="n">
        <f aca="false">SUM(K579:N579)</f>
        <v>15</v>
      </c>
      <c r="P579" s="0" t="str">
        <f aca="false">IF(O579&gt;=15,"Yes","No")</f>
        <v>Yes</v>
      </c>
      <c r="Q579" s="0" t="s">
        <v>159</v>
      </c>
      <c r="R579" s="2" t="n">
        <v>235000</v>
      </c>
      <c r="S579" s="3" t="n">
        <v>0.05</v>
      </c>
      <c r="T579" s="2" t="n">
        <f aca="false">R579*S579</f>
        <v>11750</v>
      </c>
      <c r="U579" s="4" t="s">
        <v>866</v>
      </c>
    </row>
    <row r="580" customFormat="false" ht="15" hidden="false" customHeight="false" outlineLevel="0" collapsed="false">
      <c r="A580" s="0" t="s">
        <v>1672</v>
      </c>
      <c r="B580" s="0" t="s">
        <v>659</v>
      </c>
      <c r="C580" s="0" t="s">
        <v>26</v>
      </c>
      <c r="D580" s="0" t="s">
        <v>27</v>
      </c>
      <c r="E580" s="0" t="s">
        <v>84</v>
      </c>
      <c r="F580" s="0" t="s">
        <v>41</v>
      </c>
      <c r="G580" s="0" t="s">
        <v>1004</v>
      </c>
      <c r="H580" s="0" t="s">
        <v>43</v>
      </c>
      <c r="I580" s="0" t="s">
        <v>1154</v>
      </c>
      <c r="J580" s="0" t="s">
        <v>78</v>
      </c>
      <c r="K580" s="0" t="n">
        <v>5</v>
      </c>
      <c r="L580" s="0" t="n">
        <v>5</v>
      </c>
      <c r="M580" s="0" t="n">
        <v>3</v>
      </c>
      <c r="N580" s="0" t="n">
        <v>3</v>
      </c>
      <c r="O580" s="0" t="n">
        <f aca="false">SUM(K580:N580)</f>
        <v>16</v>
      </c>
      <c r="P580" s="0" t="str">
        <f aca="false">IF(O580&gt;=15,"Yes","No")</f>
        <v>Yes</v>
      </c>
      <c r="Q580" s="0" t="s">
        <v>34</v>
      </c>
      <c r="R580" s="2" t="n">
        <v>175000</v>
      </c>
      <c r="S580" s="3" t="n">
        <v>1</v>
      </c>
      <c r="T580" s="2" t="n">
        <f aca="false">R580*S580</f>
        <v>175000</v>
      </c>
      <c r="U580" s="4" t="s">
        <v>1608</v>
      </c>
      <c r="V580" s="4" t="s">
        <v>1163</v>
      </c>
      <c r="W580" s="0" t="n">
        <v>35</v>
      </c>
    </row>
    <row r="581" customFormat="false" ht="15" hidden="false" customHeight="false" outlineLevel="0" collapsed="false">
      <c r="A581" s="0" t="s">
        <v>1673</v>
      </c>
      <c r="B581" s="0" t="s">
        <v>1046</v>
      </c>
      <c r="C581" s="0" t="s">
        <v>26</v>
      </c>
      <c r="D581" s="0" t="s">
        <v>53</v>
      </c>
      <c r="E581" s="0" t="s">
        <v>178</v>
      </c>
      <c r="F581" s="0" t="s">
        <v>29</v>
      </c>
      <c r="G581" s="0" t="s">
        <v>1311</v>
      </c>
      <c r="H581" s="0" t="s">
        <v>31</v>
      </c>
      <c r="I581" s="0" t="s">
        <v>1130</v>
      </c>
      <c r="J581" s="0" t="s">
        <v>33</v>
      </c>
      <c r="K581" s="0" t="n">
        <v>4</v>
      </c>
      <c r="L581" s="0" t="n">
        <v>3</v>
      </c>
      <c r="M581" s="0" t="n">
        <v>4</v>
      </c>
      <c r="N581" s="0" t="n">
        <v>3</v>
      </c>
      <c r="O581" s="0" t="n">
        <f aca="false">SUM(K581:N581)</f>
        <v>14</v>
      </c>
      <c r="P581" s="0" t="str">
        <f aca="false">IF(O581&gt;=15,"Yes","No")</f>
        <v>No</v>
      </c>
      <c r="Q581" s="0" t="s">
        <v>159</v>
      </c>
      <c r="R581" s="2" t="n">
        <v>763000</v>
      </c>
      <c r="S581" s="3" t="n">
        <v>0.05</v>
      </c>
      <c r="T581" s="2" t="n">
        <f aca="false">R581*S581</f>
        <v>38150</v>
      </c>
      <c r="U581" s="4" t="s">
        <v>666</v>
      </c>
    </row>
    <row r="582" customFormat="false" ht="15" hidden="false" customHeight="false" outlineLevel="0" collapsed="false">
      <c r="A582" s="0" t="s">
        <v>1674</v>
      </c>
      <c r="B582" s="0" t="s">
        <v>1109</v>
      </c>
      <c r="C582" s="0" t="s">
        <v>129</v>
      </c>
      <c r="D582" s="0" t="s">
        <v>53</v>
      </c>
      <c r="E582" s="0" t="s">
        <v>105</v>
      </c>
      <c r="F582" s="0" t="s">
        <v>75</v>
      </c>
      <c r="G582" s="0" t="s">
        <v>449</v>
      </c>
      <c r="H582" s="0" t="s">
        <v>67</v>
      </c>
      <c r="I582" s="0" t="s">
        <v>1675</v>
      </c>
      <c r="J582" s="0" t="s">
        <v>69</v>
      </c>
      <c r="K582" s="0" t="n">
        <v>3</v>
      </c>
      <c r="L582" s="0" t="n">
        <v>3</v>
      </c>
      <c r="M582" s="0" t="n">
        <v>3</v>
      </c>
      <c r="N582" s="0" t="n">
        <v>2</v>
      </c>
      <c r="O582" s="0" t="n">
        <f aca="false">SUM(K582:N582)</f>
        <v>11</v>
      </c>
      <c r="P582" s="0" t="str">
        <f aca="false">IF(O582&gt;=15,"Yes","No")</f>
        <v>No</v>
      </c>
      <c r="Q582" s="0" t="s">
        <v>159</v>
      </c>
      <c r="R582" s="2" t="n">
        <v>520000</v>
      </c>
      <c r="S582" s="3" t="n">
        <v>0.05</v>
      </c>
      <c r="T582" s="2" t="n">
        <f aca="false">R582*S582</f>
        <v>26000</v>
      </c>
      <c r="U582" s="4" t="s">
        <v>271</v>
      </c>
    </row>
    <row r="583" customFormat="false" ht="15" hidden="false" customHeight="false" outlineLevel="0" collapsed="false">
      <c r="A583" s="0" t="s">
        <v>1676</v>
      </c>
      <c r="B583" s="0" t="s">
        <v>1651</v>
      </c>
      <c r="C583" s="0" t="s">
        <v>152</v>
      </c>
      <c r="D583" s="0" t="s">
        <v>27</v>
      </c>
      <c r="E583" s="0" t="s">
        <v>142</v>
      </c>
      <c r="F583" s="0" t="s">
        <v>179</v>
      </c>
      <c r="G583" s="0" t="s">
        <v>226</v>
      </c>
      <c r="H583" s="0" t="s">
        <v>86</v>
      </c>
      <c r="I583" s="0" t="s">
        <v>1331</v>
      </c>
      <c r="J583" s="0" t="s">
        <v>69</v>
      </c>
      <c r="K583" s="0" t="n">
        <v>1</v>
      </c>
      <c r="L583" s="0" t="n">
        <v>4</v>
      </c>
      <c r="M583" s="0" t="n">
        <v>3</v>
      </c>
      <c r="N583" s="0" t="n">
        <v>2</v>
      </c>
      <c r="O583" s="0" t="n">
        <f aca="false">SUM(K583:N583)</f>
        <v>10</v>
      </c>
      <c r="P583" s="0" t="str">
        <f aca="false">IF(O583&gt;=15,"Yes","No")</f>
        <v>No</v>
      </c>
      <c r="Q583" s="0" t="s">
        <v>46</v>
      </c>
      <c r="R583" s="2" t="n">
        <v>221000</v>
      </c>
      <c r="S583" s="3" t="n">
        <v>0</v>
      </c>
      <c r="T583" s="2" t="n">
        <f aca="false">R583*S583</f>
        <v>0</v>
      </c>
      <c r="U583" s="4" t="s">
        <v>942</v>
      </c>
      <c r="V583" s="4" t="s">
        <v>1222</v>
      </c>
      <c r="W583" s="0" t="n">
        <v>27</v>
      </c>
      <c r="X583" s="4" t="s">
        <v>49</v>
      </c>
    </row>
    <row r="584" customFormat="false" ht="15" hidden="false" customHeight="false" outlineLevel="0" collapsed="false">
      <c r="A584" s="0" t="s">
        <v>1677</v>
      </c>
      <c r="B584" s="0" t="s">
        <v>1046</v>
      </c>
      <c r="C584" s="0" t="s">
        <v>129</v>
      </c>
      <c r="D584" s="0" t="s">
        <v>27</v>
      </c>
      <c r="E584" s="0" t="s">
        <v>65</v>
      </c>
      <c r="F584" s="0" t="s">
        <v>179</v>
      </c>
      <c r="G584" s="0" t="s">
        <v>678</v>
      </c>
      <c r="H584" s="0" t="s">
        <v>67</v>
      </c>
      <c r="I584" s="0" t="s">
        <v>926</v>
      </c>
      <c r="J584" s="0" t="s">
        <v>69</v>
      </c>
      <c r="K584" s="0" t="n">
        <v>3</v>
      </c>
      <c r="L584" s="0" t="n">
        <v>3</v>
      </c>
      <c r="M584" s="0" t="n">
        <v>3</v>
      </c>
      <c r="N584" s="0" t="n">
        <v>4</v>
      </c>
      <c r="O584" s="0" t="n">
        <f aca="false">SUM(K584:N584)</f>
        <v>13</v>
      </c>
      <c r="P584" s="0" t="str">
        <f aca="false">IF(O584&gt;=15,"Yes","No")</f>
        <v>No</v>
      </c>
      <c r="Q584" s="0" t="s">
        <v>46</v>
      </c>
      <c r="R584" s="2" t="n">
        <v>225000</v>
      </c>
      <c r="S584" s="3" t="n">
        <v>0</v>
      </c>
      <c r="T584" s="2" t="n">
        <f aca="false">R584*S584</f>
        <v>0</v>
      </c>
      <c r="U584" s="4" t="s">
        <v>858</v>
      </c>
      <c r="V584" s="4" t="s">
        <v>1678</v>
      </c>
      <c r="W584" s="0" t="n">
        <v>42</v>
      </c>
      <c r="X584" s="4" t="s">
        <v>257</v>
      </c>
    </row>
    <row r="585" customFormat="false" ht="15" hidden="false" customHeight="false" outlineLevel="0" collapsed="false">
      <c r="A585" s="0" t="s">
        <v>1679</v>
      </c>
      <c r="B585" s="0" t="s">
        <v>403</v>
      </c>
      <c r="C585" s="0" t="s">
        <v>39</v>
      </c>
      <c r="D585" s="0" t="s">
        <v>64</v>
      </c>
      <c r="E585" s="0" t="s">
        <v>136</v>
      </c>
      <c r="F585" s="0" t="s">
        <v>153</v>
      </c>
      <c r="G585" s="0" t="s">
        <v>623</v>
      </c>
      <c r="H585" s="0" t="s">
        <v>86</v>
      </c>
      <c r="I585" s="0" t="s">
        <v>1229</v>
      </c>
      <c r="J585" s="0" t="s">
        <v>78</v>
      </c>
      <c r="K585" s="0" t="n">
        <v>2</v>
      </c>
      <c r="L585" s="0" t="n">
        <v>1</v>
      </c>
      <c r="M585" s="0" t="n">
        <v>1</v>
      </c>
      <c r="N585" s="0" t="n">
        <v>3</v>
      </c>
      <c r="O585" s="0" t="n">
        <f aca="false">SUM(K585:N585)</f>
        <v>7</v>
      </c>
      <c r="P585" s="0" t="str">
        <f aca="false">IF(O585&gt;=15,"Yes","No")</f>
        <v>No</v>
      </c>
      <c r="Q585" s="0" t="s">
        <v>115</v>
      </c>
      <c r="R585" s="2" t="n">
        <v>2673000</v>
      </c>
      <c r="S585" s="3" t="n">
        <v>0.35</v>
      </c>
      <c r="T585" s="2" t="n">
        <f aca="false">R585*S585</f>
        <v>935550</v>
      </c>
      <c r="U585" s="4" t="s">
        <v>406</v>
      </c>
    </row>
    <row r="586" customFormat="false" ht="15" hidden="false" customHeight="false" outlineLevel="0" collapsed="false">
      <c r="A586" s="0" t="s">
        <v>1680</v>
      </c>
      <c r="B586" s="0" t="s">
        <v>368</v>
      </c>
      <c r="C586" s="0" t="s">
        <v>26</v>
      </c>
      <c r="D586" s="0" t="s">
        <v>27</v>
      </c>
      <c r="E586" s="0" t="s">
        <v>136</v>
      </c>
      <c r="F586" s="0" t="s">
        <v>75</v>
      </c>
      <c r="G586" s="0" t="s">
        <v>1681</v>
      </c>
      <c r="H586" s="0" t="s">
        <v>86</v>
      </c>
      <c r="I586" s="0" t="s">
        <v>511</v>
      </c>
      <c r="J586" s="0" t="s">
        <v>33</v>
      </c>
      <c r="K586" s="0" t="n">
        <v>2</v>
      </c>
      <c r="L586" s="0" t="n">
        <v>2</v>
      </c>
      <c r="M586" s="0" t="n">
        <v>1</v>
      </c>
      <c r="N586" s="0" t="n">
        <v>2</v>
      </c>
      <c r="O586" s="0" t="n">
        <f aca="false">SUM(K586:N586)</f>
        <v>7</v>
      </c>
      <c r="P586" s="0" t="str">
        <f aca="false">IF(O586&gt;=15,"Yes","No")</f>
        <v>No</v>
      </c>
      <c r="Q586" s="0" t="s">
        <v>115</v>
      </c>
      <c r="R586" s="2" t="n">
        <v>228000</v>
      </c>
      <c r="S586" s="3" t="n">
        <v>0.35</v>
      </c>
      <c r="T586" s="2" t="n">
        <f aca="false">R586*S586</f>
        <v>79800</v>
      </c>
      <c r="U586" s="4" t="s">
        <v>351</v>
      </c>
    </row>
    <row r="587" customFormat="false" ht="15" hidden="false" customHeight="false" outlineLevel="0" collapsed="false">
      <c r="A587" s="0" t="s">
        <v>1682</v>
      </c>
      <c r="B587" s="0" t="s">
        <v>685</v>
      </c>
      <c r="C587" s="0" t="s">
        <v>129</v>
      </c>
      <c r="D587" s="0" t="s">
        <v>64</v>
      </c>
      <c r="E587" s="0" t="s">
        <v>322</v>
      </c>
      <c r="F587" s="0" t="s">
        <v>55</v>
      </c>
      <c r="G587" s="0" t="s">
        <v>498</v>
      </c>
      <c r="H587" s="0" t="s">
        <v>57</v>
      </c>
      <c r="I587" s="0" t="s">
        <v>895</v>
      </c>
      <c r="J587" s="0" t="s">
        <v>78</v>
      </c>
      <c r="K587" s="0" t="n">
        <v>1</v>
      </c>
      <c r="L587" s="0" t="n">
        <v>1</v>
      </c>
      <c r="M587" s="0" t="n">
        <v>2</v>
      </c>
      <c r="N587" s="0" t="n">
        <v>1</v>
      </c>
      <c r="O587" s="0" t="n">
        <f aca="false">SUM(K587:N587)</f>
        <v>5</v>
      </c>
      <c r="P587" s="0" t="str">
        <f aca="false">IF(O587&gt;=15,"Yes","No")</f>
        <v>No</v>
      </c>
      <c r="Q587" s="0" t="s">
        <v>46</v>
      </c>
      <c r="R587" s="2" t="n">
        <v>1897000</v>
      </c>
      <c r="S587" s="3" t="n">
        <v>0</v>
      </c>
      <c r="T587" s="2" t="n">
        <f aca="false">R587*S587</f>
        <v>0</v>
      </c>
      <c r="U587" s="4" t="s">
        <v>1212</v>
      </c>
      <c r="V587" s="4" t="s">
        <v>237</v>
      </c>
      <c r="W587" s="0" t="n">
        <v>26</v>
      </c>
      <c r="X587" s="4" t="s">
        <v>443</v>
      </c>
    </row>
    <row r="588" customFormat="false" ht="15" hidden="false" customHeight="false" outlineLevel="0" collapsed="false">
      <c r="A588" s="0" t="s">
        <v>1683</v>
      </c>
      <c r="B588" s="0" t="s">
        <v>1684</v>
      </c>
      <c r="C588" s="0" t="s">
        <v>52</v>
      </c>
      <c r="D588" s="0" t="s">
        <v>64</v>
      </c>
      <c r="E588" s="0" t="s">
        <v>178</v>
      </c>
      <c r="F588" s="0" t="s">
        <v>130</v>
      </c>
      <c r="G588" s="0" t="s">
        <v>1685</v>
      </c>
      <c r="H588" s="0" t="s">
        <v>57</v>
      </c>
      <c r="I588" s="0" t="s">
        <v>722</v>
      </c>
      <c r="J588" s="0" t="s">
        <v>78</v>
      </c>
      <c r="K588" s="0" t="n">
        <v>2</v>
      </c>
      <c r="L588" s="0" t="n">
        <v>2</v>
      </c>
      <c r="M588" s="0" t="n">
        <v>1</v>
      </c>
      <c r="N588" s="0" t="n">
        <v>3</v>
      </c>
      <c r="O588" s="0" t="n">
        <f aca="false">SUM(K588:N588)</f>
        <v>8</v>
      </c>
      <c r="P588" s="0" t="str">
        <f aca="false">IF(O588&gt;=15,"Yes","No")</f>
        <v>No</v>
      </c>
      <c r="Q588" s="0" t="s">
        <v>159</v>
      </c>
      <c r="R588" s="2" t="n">
        <v>1948000</v>
      </c>
      <c r="S588" s="3" t="n">
        <v>0.05</v>
      </c>
      <c r="T588" s="2" t="n">
        <f aca="false">R588*S588</f>
        <v>97400</v>
      </c>
      <c r="U588" s="4" t="s">
        <v>266</v>
      </c>
    </row>
    <row r="589" customFormat="false" ht="15" hidden="false" customHeight="false" outlineLevel="0" collapsed="false">
      <c r="A589" s="0" t="s">
        <v>1686</v>
      </c>
      <c r="B589" s="0" t="s">
        <v>616</v>
      </c>
      <c r="C589" s="0" t="s">
        <v>74</v>
      </c>
      <c r="D589" s="0" t="s">
        <v>53</v>
      </c>
      <c r="E589" s="0" t="s">
        <v>99</v>
      </c>
      <c r="F589" s="0" t="s">
        <v>179</v>
      </c>
      <c r="G589" s="0" t="s">
        <v>1687</v>
      </c>
      <c r="H589" s="0" t="s">
        <v>57</v>
      </c>
      <c r="I589" s="0" t="s">
        <v>596</v>
      </c>
      <c r="J589" s="0" t="s">
        <v>59</v>
      </c>
      <c r="K589" s="0" t="n">
        <v>2</v>
      </c>
      <c r="L589" s="0" t="n">
        <v>1</v>
      </c>
      <c r="M589" s="0" t="n">
        <v>2</v>
      </c>
      <c r="N589" s="0" t="n">
        <v>2</v>
      </c>
      <c r="O589" s="0" t="n">
        <f aca="false">SUM(K589:N589)</f>
        <v>7</v>
      </c>
      <c r="P589" s="0" t="str">
        <f aca="false">IF(O589&gt;=15,"Yes","No")</f>
        <v>No</v>
      </c>
      <c r="Q589" s="0" t="s">
        <v>115</v>
      </c>
      <c r="R589" s="2" t="n">
        <v>862000</v>
      </c>
      <c r="S589" s="3" t="n">
        <v>0.35</v>
      </c>
      <c r="T589" s="2" t="n">
        <f aca="false">R589*S589</f>
        <v>301700</v>
      </c>
      <c r="U589" s="4" t="s">
        <v>1030</v>
      </c>
    </row>
    <row r="590" customFormat="false" ht="15" hidden="false" customHeight="false" outlineLevel="0" collapsed="false">
      <c r="A590" s="0" t="s">
        <v>1688</v>
      </c>
      <c r="B590" s="0" t="s">
        <v>965</v>
      </c>
      <c r="C590" s="0" t="s">
        <v>74</v>
      </c>
      <c r="D590" s="0" t="s">
        <v>53</v>
      </c>
      <c r="E590" s="0" t="s">
        <v>322</v>
      </c>
      <c r="F590" s="0" t="s">
        <v>130</v>
      </c>
      <c r="G590" s="0" t="s">
        <v>1689</v>
      </c>
      <c r="H590" s="0" t="s">
        <v>57</v>
      </c>
      <c r="I590" s="0" t="s">
        <v>857</v>
      </c>
      <c r="J590" s="0" t="s">
        <v>69</v>
      </c>
      <c r="K590" s="0" t="n">
        <v>1</v>
      </c>
      <c r="L590" s="0" t="n">
        <v>3</v>
      </c>
      <c r="M590" s="0" t="n">
        <v>2</v>
      </c>
      <c r="N590" s="0" t="n">
        <v>2</v>
      </c>
      <c r="O590" s="0" t="n">
        <f aca="false">SUM(K590:N590)</f>
        <v>8</v>
      </c>
      <c r="P590" s="0" t="str">
        <f aca="false">IF(O590&gt;=15,"Yes","No")</f>
        <v>No</v>
      </c>
      <c r="Q590" s="0" t="s">
        <v>46</v>
      </c>
      <c r="R590" s="2" t="n">
        <v>643000</v>
      </c>
      <c r="S590" s="3" t="n">
        <v>0</v>
      </c>
      <c r="T590" s="2" t="n">
        <f aca="false">R590*S590</f>
        <v>0</v>
      </c>
      <c r="U590" s="4" t="s">
        <v>1573</v>
      </c>
      <c r="V590" s="4" t="s">
        <v>531</v>
      </c>
      <c r="W590" s="0" t="n">
        <v>29</v>
      </c>
      <c r="X590" s="4" t="s">
        <v>257</v>
      </c>
    </row>
    <row r="591" customFormat="false" ht="15" hidden="false" customHeight="false" outlineLevel="0" collapsed="false">
      <c r="A591" s="0" t="s">
        <v>1690</v>
      </c>
      <c r="B591" s="0" t="s">
        <v>1175</v>
      </c>
      <c r="C591" s="0" t="s">
        <v>152</v>
      </c>
      <c r="D591" s="0" t="s">
        <v>64</v>
      </c>
      <c r="E591" s="0" t="s">
        <v>40</v>
      </c>
      <c r="F591" s="0" t="s">
        <v>75</v>
      </c>
      <c r="G591" s="0" t="s">
        <v>148</v>
      </c>
      <c r="H591" s="0" t="s">
        <v>86</v>
      </c>
      <c r="I591" s="0" t="s">
        <v>831</v>
      </c>
      <c r="J591" s="0" t="s">
        <v>78</v>
      </c>
      <c r="K591" s="0" t="n">
        <v>2</v>
      </c>
      <c r="L591" s="0" t="n">
        <v>3</v>
      </c>
      <c r="M591" s="0" t="n">
        <v>1</v>
      </c>
      <c r="N591" s="0" t="n">
        <v>3</v>
      </c>
      <c r="O591" s="0" t="n">
        <f aca="false">SUM(K591:N591)</f>
        <v>9</v>
      </c>
      <c r="P591" s="0" t="str">
        <f aca="false">IF(O591&gt;=15,"Yes","No")</f>
        <v>No</v>
      </c>
      <c r="Q591" s="0" t="s">
        <v>159</v>
      </c>
      <c r="R591" s="2" t="n">
        <v>2413000</v>
      </c>
      <c r="S591" s="3" t="n">
        <v>0.05</v>
      </c>
      <c r="T591" s="2" t="n">
        <f aca="false">R591*S591</f>
        <v>120650</v>
      </c>
      <c r="U591" s="4" t="s">
        <v>366</v>
      </c>
    </row>
    <row r="592" customFormat="false" ht="15" hidden="false" customHeight="false" outlineLevel="0" collapsed="false">
      <c r="A592" s="0" t="s">
        <v>1691</v>
      </c>
      <c r="B592" s="0" t="s">
        <v>241</v>
      </c>
      <c r="C592" s="0" t="s">
        <v>74</v>
      </c>
      <c r="D592" s="0" t="s">
        <v>27</v>
      </c>
      <c r="E592" s="0" t="s">
        <v>195</v>
      </c>
      <c r="F592" s="0" t="s">
        <v>29</v>
      </c>
      <c r="G592" s="0" t="s">
        <v>1362</v>
      </c>
      <c r="H592" s="0" t="s">
        <v>57</v>
      </c>
      <c r="I592" s="0" t="s">
        <v>1197</v>
      </c>
      <c r="J592" s="0" t="s">
        <v>78</v>
      </c>
      <c r="K592" s="0" t="n">
        <v>2</v>
      </c>
      <c r="L592" s="0" t="n">
        <v>2</v>
      </c>
      <c r="M592" s="0" t="n">
        <v>3</v>
      </c>
      <c r="N592" s="0" t="n">
        <v>2</v>
      </c>
      <c r="O592" s="0" t="n">
        <f aca="false">SUM(K592:N592)</f>
        <v>9</v>
      </c>
      <c r="P592" s="0" t="str">
        <f aca="false">IF(O592&gt;=15,"Yes","No")</f>
        <v>No</v>
      </c>
      <c r="Q592" s="0" t="s">
        <v>60</v>
      </c>
      <c r="R592" s="2" t="n">
        <v>223000</v>
      </c>
      <c r="S592" s="3" t="n">
        <v>0.15</v>
      </c>
      <c r="T592" s="2" t="n">
        <f aca="false">R592*S592</f>
        <v>33450</v>
      </c>
      <c r="U592" s="4" t="s">
        <v>206</v>
      </c>
    </row>
    <row r="593" customFormat="false" ht="15" hidden="false" customHeight="false" outlineLevel="0" collapsed="false">
      <c r="A593" s="0" t="s">
        <v>1692</v>
      </c>
      <c r="B593" s="0" t="s">
        <v>269</v>
      </c>
      <c r="C593" s="0" t="s">
        <v>39</v>
      </c>
      <c r="D593" s="0" t="s">
        <v>27</v>
      </c>
      <c r="E593" s="0" t="s">
        <v>322</v>
      </c>
      <c r="F593" s="0" t="s">
        <v>75</v>
      </c>
      <c r="G593" s="0" t="s">
        <v>1568</v>
      </c>
      <c r="H593" s="0" t="s">
        <v>86</v>
      </c>
      <c r="I593" s="0" t="s">
        <v>1303</v>
      </c>
      <c r="J593" s="0" t="s">
        <v>78</v>
      </c>
      <c r="K593" s="0" t="n">
        <v>3</v>
      </c>
      <c r="L593" s="0" t="n">
        <v>1</v>
      </c>
      <c r="M593" s="0" t="n">
        <v>1</v>
      </c>
      <c r="N593" s="0" t="n">
        <v>1</v>
      </c>
      <c r="O593" s="0" t="n">
        <f aca="false">SUM(K593:N593)</f>
        <v>6</v>
      </c>
      <c r="P593" s="0" t="str">
        <f aca="false">IF(O593&gt;=15,"Yes","No")</f>
        <v>No</v>
      </c>
      <c r="Q593" s="0" t="s">
        <v>60</v>
      </c>
      <c r="R593" s="2" t="n">
        <v>162000</v>
      </c>
      <c r="S593" s="3" t="n">
        <v>0.15</v>
      </c>
      <c r="T593" s="2" t="n">
        <f aca="false">R593*S593</f>
        <v>24300</v>
      </c>
      <c r="U593" s="4" t="s">
        <v>650</v>
      </c>
    </row>
    <row r="594" customFormat="false" ht="15" hidden="false" customHeight="false" outlineLevel="0" collapsed="false">
      <c r="A594" s="0" t="s">
        <v>1693</v>
      </c>
      <c r="B594" s="0" t="s">
        <v>38</v>
      </c>
      <c r="C594" s="0" t="s">
        <v>129</v>
      </c>
      <c r="D594" s="0" t="s">
        <v>53</v>
      </c>
      <c r="E594" s="0" t="s">
        <v>65</v>
      </c>
      <c r="F594" s="0" t="s">
        <v>130</v>
      </c>
      <c r="G594" s="0" t="s">
        <v>586</v>
      </c>
      <c r="H594" s="0" t="s">
        <v>67</v>
      </c>
      <c r="I594" s="0" t="s">
        <v>1220</v>
      </c>
      <c r="J594" s="0" t="s">
        <v>45</v>
      </c>
      <c r="K594" s="0" t="n">
        <v>3</v>
      </c>
      <c r="L594" s="0" t="n">
        <v>3</v>
      </c>
      <c r="M594" s="0" t="n">
        <v>4</v>
      </c>
      <c r="N594" s="0" t="n">
        <v>4</v>
      </c>
      <c r="O594" s="0" t="n">
        <f aca="false">SUM(K594:N594)</f>
        <v>14</v>
      </c>
      <c r="P594" s="0" t="str">
        <f aca="false">IF(O594&gt;=15,"Yes","No")</f>
        <v>No</v>
      </c>
      <c r="Q594" s="0" t="s">
        <v>46</v>
      </c>
      <c r="R594" s="2" t="n">
        <v>679000</v>
      </c>
      <c r="S594" s="3" t="n">
        <v>0</v>
      </c>
      <c r="T594" s="2" t="n">
        <f aca="false">R594*S594</f>
        <v>0</v>
      </c>
      <c r="U594" s="4" t="s">
        <v>927</v>
      </c>
      <c r="V594" s="4" t="s">
        <v>363</v>
      </c>
      <c r="W594" s="0" t="n">
        <v>44</v>
      </c>
      <c r="X594" s="4" t="s">
        <v>257</v>
      </c>
    </row>
    <row r="595" customFormat="false" ht="15" hidden="false" customHeight="false" outlineLevel="0" collapsed="false">
      <c r="A595" s="0" t="s">
        <v>1694</v>
      </c>
      <c r="B595" s="0" t="s">
        <v>412</v>
      </c>
      <c r="C595" s="0" t="s">
        <v>74</v>
      </c>
      <c r="D595" s="0" t="s">
        <v>53</v>
      </c>
      <c r="E595" s="0" t="s">
        <v>99</v>
      </c>
      <c r="F595" s="0" t="s">
        <v>179</v>
      </c>
      <c r="G595" s="0" t="s">
        <v>1258</v>
      </c>
      <c r="H595" s="0" t="s">
        <v>86</v>
      </c>
      <c r="I595" s="0" t="s">
        <v>1695</v>
      </c>
      <c r="J595" s="0" t="s">
        <v>45</v>
      </c>
      <c r="K595" s="0" t="n">
        <v>1</v>
      </c>
      <c r="L595" s="0" t="n">
        <v>2</v>
      </c>
      <c r="M595" s="0" t="n">
        <v>1</v>
      </c>
      <c r="N595" s="0" t="n">
        <v>2</v>
      </c>
      <c r="O595" s="0" t="n">
        <f aca="false">SUM(K595:N595)</f>
        <v>6</v>
      </c>
      <c r="P595" s="0" t="str">
        <f aca="false">IF(O595&gt;=15,"Yes","No")</f>
        <v>No</v>
      </c>
      <c r="Q595" s="0" t="s">
        <v>159</v>
      </c>
      <c r="R595" s="2" t="n">
        <v>691000</v>
      </c>
      <c r="S595" s="3" t="n">
        <v>0.05</v>
      </c>
      <c r="T595" s="2" t="n">
        <f aca="false">R595*S595</f>
        <v>34550</v>
      </c>
      <c r="U595" s="4" t="s">
        <v>1696</v>
      </c>
    </row>
    <row r="596" customFormat="false" ht="15" hidden="false" customHeight="false" outlineLevel="0" collapsed="false">
      <c r="A596" s="0" t="s">
        <v>1697</v>
      </c>
      <c r="B596" s="0" t="s">
        <v>1698</v>
      </c>
      <c r="C596" s="0" t="s">
        <v>26</v>
      </c>
      <c r="D596" s="0" t="s">
        <v>27</v>
      </c>
      <c r="E596" s="0" t="s">
        <v>28</v>
      </c>
      <c r="F596" s="0" t="s">
        <v>130</v>
      </c>
      <c r="G596" s="0" t="s">
        <v>873</v>
      </c>
      <c r="H596" s="0" t="s">
        <v>43</v>
      </c>
      <c r="I596" s="0" t="s">
        <v>520</v>
      </c>
      <c r="J596" s="0" t="s">
        <v>33</v>
      </c>
      <c r="K596" s="0" t="n">
        <v>3</v>
      </c>
      <c r="L596" s="0" t="n">
        <v>5</v>
      </c>
      <c r="M596" s="0" t="n">
        <v>4</v>
      </c>
      <c r="N596" s="0" t="n">
        <v>2</v>
      </c>
      <c r="O596" s="0" t="n">
        <f aca="false">SUM(K596:N596)</f>
        <v>14</v>
      </c>
      <c r="P596" s="0" t="str">
        <f aca="false">IF(O596&gt;=15,"Yes","No")</f>
        <v>No</v>
      </c>
      <c r="Q596" s="0" t="s">
        <v>60</v>
      </c>
      <c r="R596" s="2" t="n">
        <v>137000</v>
      </c>
      <c r="S596" s="3" t="n">
        <v>0.15</v>
      </c>
      <c r="T596" s="2" t="n">
        <f aca="false">R596*S596</f>
        <v>20550</v>
      </c>
      <c r="U596" s="4" t="s">
        <v>1699</v>
      </c>
    </row>
    <row r="597" customFormat="false" ht="15" hidden="false" customHeight="false" outlineLevel="0" collapsed="false">
      <c r="A597" s="0" t="s">
        <v>1700</v>
      </c>
      <c r="B597" s="0" t="s">
        <v>842</v>
      </c>
      <c r="C597" s="0" t="s">
        <v>264</v>
      </c>
      <c r="D597" s="0" t="s">
        <v>27</v>
      </c>
      <c r="E597" s="0" t="s">
        <v>40</v>
      </c>
      <c r="F597" s="0" t="s">
        <v>29</v>
      </c>
      <c r="G597" s="0" t="s">
        <v>1701</v>
      </c>
      <c r="H597" s="0" t="s">
        <v>86</v>
      </c>
      <c r="I597" s="0" t="s">
        <v>1013</v>
      </c>
      <c r="J597" s="0" t="s">
        <v>33</v>
      </c>
      <c r="K597" s="0" t="n">
        <v>3</v>
      </c>
      <c r="L597" s="0" t="n">
        <v>1</v>
      </c>
      <c r="M597" s="0" t="n">
        <v>2</v>
      </c>
      <c r="N597" s="0" t="n">
        <v>1</v>
      </c>
      <c r="O597" s="0" t="n">
        <f aca="false">SUM(K597:N597)</f>
        <v>7</v>
      </c>
      <c r="P597" s="0" t="str">
        <f aca="false">IF(O597&gt;=15,"Yes","No")</f>
        <v>No</v>
      </c>
      <c r="Q597" s="0" t="s">
        <v>159</v>
      </c>
      <c r="R597" s="2" t="n">
        <v>136000</v>
      </c>
      <c r="S597" s="3" t="n">
        <v>0.05</v>
      </c>
      <c r="T597" s="2" t="n">
        <f aca="false">R597*S597</f>
        <v>6800</v>
      </c>
      <c r="U597" s="4" t="s">
        <v>1487</v>
      </c>
    </row>
    <row r="598" customFormat="false" ht="15" hidden="false" customHeight="false" outlineLevel="0" collapsed="false">
      <c r="A598" s="0" t="s">
        <v>1702</v>
      </c>
      <c r="B598" s="0" t="s">
        <v>177</v>
      </c>
      <c r="C598" s="0" t="s">
        <v>152</v>
      </c>
      <c r="D598" s="0" t="s">
        <v>27</v>
      </c>
      <c r="E598" s="0" t="s">
        <v>178</v>
      </c>
      <c r="F598" s="0" t="s">
        <v>55</v>
      </c>
      <c r="G598" s="0" t="s">
        <v>180</v>
      </c>
      <c r="H598" s="0" t="s">
        <v>86</v>
      </c>
      <c r="I598" s="0" t="s">
        <v>1703</v>
      </c>
      <c r="J598" s="0" t="s">
        <v>33</v>
      </c>
      <c r="K598" s="0" t="n">
        <v>3</v>
      </c>
      <c r="L598" s="0" t="n">
        <v>1</v>
      </c>
      <c r="M598" s="0" t="n">
        <v>3</v>
      </c>
      <c r="N598" s="0" t="n">
        <v>1</v>
      </c>
      <c r="O598" s="0" t="n">
        <f aca="false">SUM(K598:N598)</f>
        <v>8</v>
      </c>
      <c r="P598" s="0" t="str">
        <f aca="false">IF(O598&gt;=15,"Yes","No")</f>
        <v>No</v>
      </c>
      <c r="Q598" s="0" t="s">
        <v>70</v>
      </c>
      <c r="R598" s="2" t="n">
        <v>231000</v>
      </c>
      <c r="S598" s="3" t="n">
        <v>0.55</v>
      </c>
      <c r="T598" s="2" t="n">
        <f aca="false">R598*S598</f>
        <v>127050</v>
      </c>
      <c r="U598" s="4" t="s">
        <v>1418</v>
      </c>
    </row>
    <row r="599" customFormat="false" ht="15" hidden="false" customHeight="false" outlineLevel="0" collapsed="false">
      <c r="A599" s="0" t="s">
        <v>1704</v>
      </c>
      <c r="B599" s="0" t="s">
        <v>612</v>
      </c>
      <c r="C599" s="0" t="s">
        <v>129</v>
      </c>
      <c r="D599" s="0" t="s">
        <v>53</v>
      </c>
      <c r="E599" s="0" t="s">
        <v>92</v>
      </c>
      <c r="F599" s="0" t="s">
        <v>29</v>
      </c>
      <c r="G599" s="0" t="s">
        <v>613</v>
      </c>
      <c r="H599" s="0" t="s">
        <v>86</v>
      </c>
      <c r="I599" s="0" t="s">
        <v>1524</v>
      </c>
      <c r="J599" s="0" t="s">
        <v>33</v>
      </c>
      <c r="K599" s="0" t="n">
        <v>1</v>
      </c>
      <c r="L599" s="0" t="n">
        <v>1</v>
      </c>
      <c r="M599" s="0" t="n">
        <v>1</v>
      </c>
      <c r="N599" s="0" t="n">
        <v>1</v>
      </c>
      <c r="O599" s="0" t="n">
        <f aca="false">SUM(K599:N599)</f>
        <v>4</v>
      </c>
      <c r="P599" s="0" t="str">
        <f aca="false">IF(O599&gt;=15,"Yes","No")</f>
        <v>No</v>
      </c>
      <c r="Q599" s="0" t="s">
        <v>115</v>
      </c>
      <c r="R599" s="2" t="n">
        <v>844000</v>
      </c>
      <c r="S599" s="3" t="n">
        <v>0.35</v>
      </c>
      <c r="T599" s="2" t="n">
        <f aca="false">R599*S599</f>
        <v>295400</v>
      </c>
      <c r="U599" s="4" t="s">
        <v>1581</v>
      </c>
    </row>
    <row r="600" customFormat="false" ht="15" hidden="false" customHeight="false" outlineLevel="0" collapsed="false">
      <c r="A600" s="0" t="s">
        <v>1705</v>
      </c>
      <c r="B600" s="0" t="s">
        <v>1245</v>
      </c>
      <c r="C600" s="0" t="s">
        <v>39</v>
      </c>
      <c r="D600" s="0" t="s">
        <v>53</v>
      </c>
      <c r="E600" s="0" t="s">
        <v>105</v>
      </c>
      <c r="F600" s="0" t="s">
        <v>41</v>
      </c>
      <c r="G600" s="0" t="s">
        <v>580</v>
      </c>
      <c r="H600" s="0" t="s">
        <v>86</v>
      </c>
      <c r="I600" s="0" t="s">
        <v>756</v>
      </c>
      <c r="J600" s="0" t="s">
        <v>45</v>
      </c>
      <c r="K600" s="0" t="n">
        <v>1</v>
      </c>
      <c r="L600" s="0" t="n">
        <v>2</v>
      </c>
      <c r="M600" s="0" t="n">
        <v>1</v>
      </c>
      <c r="N600" s="0" t="n">
        <v>1</v>
      </c>
      <c r="O600" s="0" t="n">
        <f aca="false">SUM(K600:N600)</f>
        <v>5</v>
      </c>
      <c r="P600" s="0" t="str">
        <f aca="false">IF(O600&gt;=15,"Yes","No")</f>
        <v>No</v>
      </c>
      <c r="Q600" s="0" t="s">
        <v>115</v>
      </c>
      <c r="R600" s="2" t="n">
        <v>879000</v>
      </c>
      <c r="S600" s="3" t="n">
        <v>0.35</v>
      </c>
      <c r="T600" s="2" t="n">
        <f aca="false">R600*S600</f>
        <v>307650</v>
      </c>
      <c r="U600" s="4" t="s">
        <v>255</v>
      </c>
    </row>
    <row r="601" customFormat="false" ht="15" hidden="false" customHeight="false" outlineLevel="0" collapsed="false">
      <c r="A601" s="0" t="s">
        <v>1706</v>
      </c>
      <c r="B601" s="0" t="s">
        <v>1336</v>
      </c>
      <c r="C601" s="0" t="s">
        <v>26</v>
      </c>
      <c r="D601" s="0" t="s">
        <v>53</v>
      </c>
      <c r="E601" s="0" t="s">
        <v>105</v>
      </c>
      <c r="F601" s="0" t="s">
        <v>153</v>
      </c>
      <c r="G601" s="0" t="s">
        <v>580</v>
      </c>
      <c r="H601" s="0" t="s">
        <v>67</v>
      </c>
      <c r="I601" s="0" t="s">
        <v>1707</v>
      </c>
      <c r="J601" s="0" t="s">
        <v>69</v>
      </c>
      <c r="K601" s="0" t="n">
        <v>4</v>
      </c>
      <c r="L601" s="0" t="n">
        <v>2</v>
      </c>
      <c r="M601" s="0" t="n">
        <v>4</v>
      </c>
      <c r="N601" s="0" t="n">
        <v>1</v>
      </c>
      <c r="O601" s="0" t="n">
        <f aca="false">SUM(K601:N601)</f>
        <v>11</v>
      </c>
      <c r="P601" s="0" t="str">
        <f aca="false">IF(O601&gt;=15,"Yes","No")</f>
        <v>No</v>
      </c>
      <c r="Q601" s="0" t="s">
        <v>115</v>
      </c>
      <c r="R601" s="2" t="n">
        <v>676000</v>
      </c>
      <c r="S601" s="3" t="n">
        <v>0.35</v>
      </c>
      <c r="T601" s="2" t="n">
        <f aca="false">R601*S601</f>
        <v>236600</v>
      </c>
      <c r="U601" s="4" t="s">
        <v>987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2" style="0" width="20"/>
  </cols>
  <sheetData>
    <row r="2" customFormat="false" ht="17.35" hidden="false" customHeight="false" outlineLevel="0" collapsed="false">
      <c r="B2" s="5" t="s">
        <v>1708</v>
      </c>
      <c r="C2" s="5"/>
      <c r="D2" s="5"/>
      <c r="E2" s="5"/>
      <c r="F2" s="5"/>
    </row>
    <row r="4" customFormat="false" ht="23.85" hidden="false" customHeight="false" outlineLevel="0" collapsed="false">
      <c r="B4" s="1" t="s">
        <v>16</v>
      </c>
      <c r="C4" s="1" t="s">
        <v>1709</v>
      </c>
      <c r="D4" s="1" t="s">
        <v>1710</v>
      </c>
      <c r="E4" s="1" t="s">
        <v>19</v>
      </c>
      <c r="F4" s="1" t="s">
        <v>1711</v>
      </c>
      <c r="G4" s="1" t="s">
        <v>1712</v>
      </c>
    </row>
    <row r="5" customFormat="false" ht="15" hidden="false" customHeight="false" outlineLevel="0" collapsed="false">
      <c r="B5" s="0" t="s">
        <v>159</v>
      </c>
      <c r="C5" s="0" t="n">
        <f aca="false">COUNTIFS(Pipeline!$Q$2:$Q$601,B5)</f>
        <v>160</v>
      </c>
      <c r="D5" s="2" t="n">
        <f aca="false">SUMIFS(Pipeline!$R$2:$R$601,Pipeline!$Q$2:$Q$601,B5)</f>
        <v>127861000</v>
      </c>
      <c r="E5" s="2" t="n">
        <f aca="false">SUMIFS(Pipeline!$T$2:$T$601,Pipeline!$Q$2:$Q$601,B5)</f>
        <v>6393050</v>
      </c>
      <c r="F5" s="6" t="n">
        <f aca="false">C5/COUNTA(Pipeline!$A$2:$A$601)</f>
        <v>0.266666666666667</v>
      </c>
      <c r="G5" s="4" t="s">
        <v>1713</v>
      </c>
    </row>
    <row r="6" customFormat="false" ht="15" hidden="false" customHeight="false" outlineLevel="0" collapsed="false">
      <c r="B6" s="0" t="s">
        <v>60</v>
      </c>
      <c r="C6" s="0" t="n">
        <f aca="false">COUNTIFS(Pipeline!$Q$2:$Q$601,B6)</f>
        <v>203</v>
      </c>
      <c r="D6" s="2" t="n">
        <f aca="false">SUMIFS(Pipeline!$R$2:$R$601,Pipeline!$Q$2:$Q$601,B6)</f>
        <v>140891000</v>
      </c>
      <c r="E6" s="2" t="n">
        <f aca="false">SUMIFS(Pipeline!$T$2:$T$601,Pipeline!$Q$2:$Q$601,B6)</f>
        <v>21133650</v>
      </c>
      <c r="F6" s="6" t="n">
        <f aca="false">C6/COUNTA(Pipeline!$A$2:$A$601)</f>
        <v>0.338333333333333</v>
      </c>
      <c r="G6" s="4" t="n">
        <f aca="false">IFERROR(C6/C5,"—")</f>
        <v>1.26875</v>
      </c>
    </row>
    <row r="7" customFormat="false" ht="15" hidden="false" customHeight="false" outlineLevel="0" collapsed="false">
      <c r="B7" s="0" t="s">
        <v>115</v>
      </c>
      <c r="C7" s="0" t="n">
        <f aca="false">COUNTIFS(Pipeline!$Q$2:$Q$601,B7)</f>
        <v>54</v>
      </c>
      <c r="D7" s="2" t="n">
        <f aca="false">SUMIFS(Pipeline!$R$2:$R$601,Pipeline!$Q$2:$Q$601,B7)</f>
        <v>35682000</v>
      </c>
      <c r="E7" s="2" t="n">
        <f aca="false">SUMIFS(Pipeline!$T$2:$T$601,Pipeline!$Q$2:$Q$601,B7)</f>
        <v>12488700</v>
      </c>
      <c r="F7" s="6" t="n">
        <f aca="false">C7/COUNTA(Pipeline!$A$2:$A$601)</f>
        <v>0.09</v>
      </c>
      <c r="G7" s="4" t="n">
        <f aca="false">IFERROR(C7/C6,"—")</f>
        <v>0.266009852216749</v>
      </c>
    </row>
    <row r="8" customFormat="false" ht="15" hidden="false" customHeight="false" outlineLevel="0" collapsed="false">
      <c r="B8" s="0" t="s">
        <v>70</v>
      </c>
      <c r="C8" s="0" t="n">
        <f aca="false">COUNTIFS(Pipeline!$Q$2:$Q$601,B8)</f>
        <v>29</v>
      </c>
      <c r="D8" s="2" t="n">
        <f aca="false">SUMIFS(Pipeline!$R$2:$R$601,Pipeline!$Q$2:$Q$601,B8)</f>
        <v>26399000</v>
      </c>
      <c r="E8" s="2" t="n">
        <f aca="false">SUMIFS(Pipeline!$T$2:$T$601,Pipeline!$Q$2:$Q$601,B8)</f>
        <v>14519450</v>
      </c>
      <c r="F8" s="6" t="n">
        <f aca="false">C8/COUNTA(Pipeline!$A$2:$A$601)</f>
        <v>0.0483333333333333</v>
      </c>
      <c r="G8" s="4" t="n">
        <f aca="false">IFERROR(C8/C7,"—")</f>
        <v>0.537037037037037</v>
      </c>
    </row>
    <row r="9" customFormat="false" ht="15" hidden="false" customHeight="false" outlineLevel="0" collapsed="false">
      <c r="B9" s="0" t="s">
        <v>1714</v>
      </c>
      <c r="C9" s="0" t="n">
        <f aca="false">COUNTIFS(Pipeline!$Q$2:$Q$601,B9)</f>
        <v>0</v>
      </c>
      <c r="D9" s="2" t="n">
        <f aca="false">SUMIFS(Pipeline!$R$2:$R$601,Pipeline!$Q$2:$Q$601,B9)</f>
        <v>0</v>
      </c>
      <c r="E9" s="2" t="n">
        <f aca="false">SUMIFS(Pipeline!$T$2:$T$601,Pipeline!$Q$2:$Q$601,B9)</f>
        <v>0</v>
      </c>
      <c r="F9" s="6" t="n">
        <f aca="false">C9/COUNTA(Pipeline!$A$2:$A$601)</f>
        <v>0</v>
      </c>
      <c r="G9" s="4" t="n">
        <f aca="false">IFERROR(C9/C8,"—")</f>
        <v>0</v>
      </c>
    </row>
    <row r="10" customFormat="false" ht="15" hidden="false" customHeight="false" outlineLevel="0" collapsed="false">
      <c r="B10" s="0" t="s">
        <v>34</v>
      </c>
      <c r="C10" s="0" t="n">
        <f aca="false">COUNTIFS(Pipeline!$Q$2:$Q$601,B10)</f>
        <v>40</v>
      </c>
      <c r="D10" s="2" t="n">
        <f aca="false">SUMIFS(Pipeline!$R$2:$R$601,Pipeline!$Q$2:$Q$601,B10)</f>
        <v>27963000</v>
      </c>
      <c r="E10" s="2" t="n">
        <f aca="false">SUMIFS(Pipeline!$T$2:$T$601,Pipeline!$Q$2:$Q$601,B10)</f>
        <v>27963000</v>
      </c>
      <c r="F10" s="6" t="n">
        <f aca="false">C10/COUNTA(Pipeline!$A$2:$A$601)</f>
        <v>0.0666666666666667</v>
      </c>
      <c r="G10" s="0" t="str">
        <f aca="false">IFERROR(C10/C9,"—")</f>
        <v>—</v>
      </c>
    </row>
    <row r="11" customFormat="false" ht="15" hidden="false" customHeight="false" outlineLevel="0" collapsed="false">
      <c r="B11" s="0" t="s">
        <v>46</v>
      </c>
      <c r="C11" s="0" t="n">
        <f aca="false">COUNTIFS(Pipeline!$Q$2:$Q$601,B11)</f>
        <v>114</v>
      </c>
      <c r="D11" s="2" t="n">
        <f aca="false">SUMIFS(Pipeline!$R$2:$R$601,Pipeline!$Q$2:$Q$601,B11)</f>
        <v>82753000</v>
      </c>
      <c r="E11" s="2" t="n">
        <f aca="false">SUMIFS(Pipeline!$T$2:$T$601,Pipeline!$Q$2:$Q$601,B11)</f>
        <v>0</v>
      </c>
      <c r="F11" s="6" t="n">
        <f aca="false">C11/COUNTA(Pipeline!$A$2:$A$601)</f>
        <v>0.19</v>
      </c>
      <c r="G11" s="4" t="n">
        <f aca="false">IFERROR(C11/C10,"—")</f>
        <v>2.85</v>
      </c>
    </row>
    <row r="14" customFormat="false" ht="15" hidden="false" customHeight="false" outlineLevel="0" collapsed="false">
      <c r="B14" s="7" t="s">
        <v>1715</v>
      </c>
      <c r="D14" s="6" t="n">
        <f aca="false">COUNTIFS(Pipeline!$Q$2:$Q$601,"Closed Won")/(COUNTIFS(Pipeline!$Q$2:$Q$601,"Closed Won")+COUNTIFS(Pipeline!$Q$2:$Q$601,"Closed Lost"))</f>
        <v>0.25974025974026</v>
      </c>
    </row>
    <row r="15" customFormat="false" ht="15" hidden="false" customHeight="false" outlineLevel="0" collapsed="false">
      <c r="B15" s="7" t="s">
        <v>1716</v>
      </c>
      <c r="D15" s="2" t="n">
        <f aca="false">SUMIFS(Pipeline!$R$2:$R$601,Pipeline!$Q$2:$Q$601,"&lt;&gt;Closed Won",Pipeline!$Q$2:$Q$601,"&lt;&gt;Closed Lost")</f>
        <v>330833000</v>
      </c>
    </row>
    <row r="16" customFormat="false" ht="15" hidden="false" customHeight="false" outlineLevel="0" collapsed="false">
      <c r="B16" s="7" t="s">
        <v>1717</v>
      </c>
      <c r="D16" s="2" t="n">
        <f aca="false">SUMIFS(Pipeline!$T$2:$T$601,Pipeline!$Q$2:$Q$601,"&lt;&gt;Closed Won",Pipeline!$Q$2:$Q$601,"&lt;&gt;Closed Lost")</f>
        <v>54534850</v>
      </c>
    </row>
    <row r="17" customFormat="false" ht="15" hidden="false" customHeight="false" outlineLevel="0" collapsed="false">
      <c r="B17" s="7" t="s">
        <v>1718</v>
      </c>
      <c r="D17" s="2" t="n">
        <f aca="false">SUMIFS(Pipeline!$R$2:$R$601,Pipeline!$Q$2:$Q$601,"Closed Won")</f>
        <v>27963000</v>
      </c>
    </row>
    <row r="18" customFormat="false" ht="15" hidden="false" customHeight="false" outlineLevel="0" collapsed="false">
      <c r="B18" s="7" t="s">
        <v>1719</v>
      </c>
      <c r="D18" s="2" t="n">
        <f aca="false">AVERAGEIFS(Pipeline!$R$2:$R$601,Pipeline!$Q$2:$Q$601,"Closed Won")</f>
        <v>699075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</cols>
  <sheetData>
    <row r="1" customFormat="false" ht="15" hidden="false" customHeight="false" outlineLevel="0" collapsed="false">
      <c r="A1" s="8" t="s">
        <v>7</v>
      </c>
      <c r="B1" s="8" t="s">
        <v>1720</v>
      </c>
      <c r="C1" s="8" t="s">
        <v>1721</v>
      </c>
      <c r="D1" s="8" t="s">
        <v>1722</v>
      </c>
      <c r="E1" s="8" t="s">
        <v>1723</v>
      </c>
    </row>
    <row r="2" customFormat="false" ht="15" hidden="false" customHeight="false" outlineLevel="0" collapsed="false">
      <c r="A2" s="0" t="s">
        <v>86</v>
      </c>
      <c r="B2" s="0" t="n">
        <f aca="false">COUNTIFS(Pipeline!$H$2:$H$601,A2)</f>
        <v>173</v>
      </c>
      <c r="C2" s="0" t="n">
        <f aca="false">COUNTIFS(Pipeline!$H$2:$H$601,A2,Pipeline!$Q$2:$Q$601,"Closed Won")</f>
        <v>4</v>
      </c>
      <c r="D2" s="6" t="n">
        <f aca="false">IFERROR(C2/B2,0)</f>
        <v>0.023121387283237</v>
      </c>
      <c r="E2" s="2" t="n">
        <f aca="false">SUMIFS(Pipeline!$R$2:$R$601,Pipeline!$H$2:$H$601,A2,Pipeline!$Q$2:$Q$601,"Closed Won")</f>
        <v>2538000</v>
      </c>
    </row>
    <row r="3" customFormat="false" ht="15" hidden="false" customHeight="false" outlineLevel="0" collapsed="false">
      <c r="A3" s="0" t="s">
        <v>67</v>
      </c>
      <c r="B3" s="0" t="n">
        <f aca="false">COUNTIFS(Pipeline!$H$2:$H$601,A3)</f>
        <v>132</v>
      </c>
      <c r="C3" s="0" t="n">
        <f aca="false">COUNTIFS(Pipeline!$H$2:$H$601,A3,Pipeline!$Q$2:$Q$601,"Closed Won")</f>
        <v>13</v>
      </c>
      <c r="D3" s="6" t="n">
        <f aca="false">IFERROR(C3/B3,0)</f>
        <v>0.0984848484848485</v>
      </c>
      <c r="E3" s="2" t="n">
        <f aca="false">SUMIFS(Pipeline!$R$2:$R$601,Pipeline!$H$2:$H$601,A3,Pipeline!$Q$2:$Q$601,"Closed Won")</f>
        <v>5936000</v>
      </c>
    </row>
    <row r="4" customFormat="false" ht="15" hidden="false" customHeight="false" outlineLevel="0" collapsed="false">
      <c r="A4" s="0" t="s">
        <v>57</v>
      </c>
      <c r="B4" s="0" t="n">
        <f aca="false">COUNTIFS(Pipeline!$H$2:$H$601,A4)</f>
        <v>103</v>
      </c>
      <c r="C4" s="0" t="n">
        <f aca="false">COUNTIFS(Pipeline!$H$2:$H$601,A4,Pipeline!$Q$2:$Q$601,"Closed Won")</f>
        <v>2</v>
      </c>
      <c r="D4" s="6" t="n">
        <f aca="false">IFERROR(C4/B4,0)</f>
        <v>0.0194174757281553</v>
      </c>
      <c r="E4" s="2" t="n">
        <f aca="false">SUMIFS(Pipeline!$R$2:$R$601,Pipeline!$H$2:$H$601,A4,Pipeline!$Q$2:$Q$601,"Closed Won")</f>
        <v>1000000</v>
      </c>
    </row>
    <row r="5" customFormat="false" ht="15" hidden="false" customHeight="false" outlineLevel="0" collapsed="false">
      <c r="A5" s="0" t="s">
        <v>31</v>
      </c>
      <c r="B5" s="0" t="n">
        <f aca="false">COUNTIFS(Pipeline!$H$2:$H$601,A5)</f>
        <v>54</v>
      </c>
      <c r="C5" s="0" t="n">
        <f aca="false">COUNTIFS(Pipeline!$H$2:$H$601,A5,Pipeline!$Q$2:$Q$601,"Closed Won")</f>
        <v>5</v>
      </c>
      <c r="D5" s="6" t="n">
        <f aca="false">IFERROR(C5/B5,0)</f>
        <v>0.0925925925925926</v>
      </c>
      <c r="E5" s="2" t="n">
        <f aca="false">SUMIFS(Pipeline!$R$2:$R$601,Pipeline!$H$2:$H$601,A5,Pipeline!$Q$2:$Q$601,"Closed Won")</f>
        <v>2165000</v>
      </c>
    </row>
    <row r="6" customFormat="false" ht="15" hidden="false" customHeight="false" outlineLevel="0" collapsed="false">
      <c r="A6" s="0" t="s">
        <v>43</v>
      </c>
      <c r="B6" s="0" t="n">
        <f aca="false">COUNTIFS(Pipeline!$H$2:$H$601,A6)</f>
        <v>84</v>
      </c>
      <c r="C6" s="0" t="n">
        <f aca="false">COUNTIFS(Pipeline!$H$2:$H$601,A6,Pipeline!$Q$2:$Q$601,"Closed Won")</f>
        <v>12</v>
      </c>
      <c r="D6" s="6" t="n">
        <f aca="false">IFERROR(C6/B6,0)</f>
        <v>0.142857142857143</v>
      </c>
      <c r="E6" s="2" t="n">
        <f aca="false">SUMIFS(Pipeline!$R$2:$R$601,Pipeline!$H$2:$H$601,A6,Pipeline!$Q$2:$Q$601,"Closed Won")</f>
        <v>9646000</v>
      </c>
    </row>
    <row r="7" customFormat="false" ht="15" hidden="false" customHeight="false" outlineLevel="0" collapsed="false">
      <c r="A7" s="0" t="s">
        <v>248</v>
      </c>
      <c r="B7" s="0" t="n">
        <f aca="false">COUNTIFS(Pipeline!$H$2:$H$601,A7)</f>
        <v>54</v>
      </c>
      <c r="C7" s="0" t="n">
        <f aca="false">COUNTIFS(Pipeline!$H$2:$H$601,A7,Pipeline!$Q$2:$Q$601,"Closed Won")</f>
        <v>4</v>
      </c>
      <c r="D7" s="6" t="n">
        <f aca="false">IFERROR(C7/B7,0)</f>
        <v>0.0740740740740741</v>
      </c>
      <c r="E7" s="2" t="n">
        <f aca="false">SUMIFS(Pipeline!$R$2:$R$601,Pipeline!$H$2:$H$601,A7,Pipeline!$Q$2:$Q$601,"Closed Won")</f>
        <v>6678000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</cols>
  <sheetData>
    <row r="1" customFormat="false" ht="15" hidden="false" customHeight="false" outlineLevel="0" collapsed="false">
      <c r="A1" s="8" t="s">
        <v>9</v>
      </c>
      <c r="B1" s="8" t="s">
        <v>1724</v>
      </c>
      <c r="C1" s="8" t="s">
        <v>1721</v>
      </c>
      <c r="D1" s="8" t="s">
        <v>1722</v>
      </c>
      <c r="E1" s="8" t="s">
        <v>1725</v>
      </c>
    </row>
    <row r="2" customFormat="false" ht="15" hidden="false" customHeight="false" outlineLevel="0" collapsed="false">
      <c r="A2" s="0" t="s">
        <v>78</v>
      </c>
      <c r="B2" s="0" t="n">
        <f aca="false">COUNTIFS(Pipeline!$J$2:$J$601,A2)</f>
        <v>114</v>
      </c>
      <c r="C2" s="0" t="n">
        <f aca="false">COUNTIFS(Pipeline!$J$2:$J$601,A2,Pipeline!$Q$2:$Q$601,"Closed Won")</f>
        <v>13</v>
      </c>
      <c r="D2" s="6" t="n">
        <f aca="false">IFERROR(C2/B2,0)</f>
        <v>0.114035087719298</v>
      </c>
      <c r="E2" s="2" t="n">
        <f aca="false">SUMIFS(Pipeline!$R$2:$R$601,Pipeline!$J$2:$J$601,A2,Pipeline!$Q$2:$Q$601,"Closed Won")</f>
        <v>9182000</v>
      </c>
    </row>
    <row r="3" customFormat="false" ht="15" hidden="false" customHeight="false" outlineLevel="0" collapsed="false">
      <c r="A3" s="0" t="s">
        <v>33</v>
      </c>
      <c r="B3" s="0" t="n">
        <f aca="false">COUNTIFS(Pipeline!$J$2:$J$601,A3)</f>
        <v>120</v>
      </c>
      <c r="C3" s="0" t="n">
        <f aca="false">COUNTIFS(Pipeline!$J$2:$J$601,A3,Pipeline!$Q$2:$Q$601,"Closed Won")</f>
        <v>7</v>
      </c>
      <c r="D3" s="6" t="n">
        <f aca="false">IFERROR(C3/B3,0)</f>
        <v>0.0583333333333333</v>
      </c>
      <c r="E3" s="2" t="n">
        <f aca="false">SUMIFS(Pipeline!$R$2:$R$601,Pipeline!$J$2:$J$601,A3,Pipeline!$Q$2:$Q$601,"Closed Won")</f>
        <v>5963000</v>
      </c>
    </row>
    <row r="4" customFormat="false" ht="15" hidden="false" customHeight="false" outlineLevel="0" collapsed="false">
      <c r="A4" s="0" t="s">
        <v>69</v>
      </c>
      <c r="B4" s="0" t="n">
        <f aca="false">COUNTIFS(Pipeline!$J$2:$J$601,A4)</f>
        <v>117</v>
      </c>
      <c r="C4" s="0" t="n">
        <f aca="false">COUNTIFS(Pipeline!$J$2:$J$601,A4,Pipeline!$Q$2:$Q$601,"Closed Won")</f>
        <v>2</v>
      </c>
      <c r="D4" s="6" t="n">
        <f aca="false">IFERROR(C4/B4,0)</f>
        <v>0.0170940170940171</v>
      </c>
      <c r="E4" s="2" t="n">
        <f aca="false">SUMIFS(Pipeline!$R$2:$R$601,Pipeline!$J$2:$J$601,A4,Pipeline!$Q$2:$Q$601,"Closed Won")</f>
        <v>2947000</v>
      </c>
    </row>
    <row r="5" customFormat="false" ht="15" hidden="false" customHeight="false" outlineLevel="0" collapsed="false">
      <c r="A5" s="0" t="s">
        <v>45</v>
      </c>
      <c r="B5" s="0" t="n">
        <f aca="false">COUNTIFS(Pipeline!$J$2:$J$601,A5)</f>
        <v>125</v>
      </c>
      <c r="C5" s="0" t="n">
        <f aca="false">COUNTIFS(Pipeline!$J$2:$J$601,A5,Pipeline!$Q$2:$Q$601,"Closed Won")</f>
        <v>3</v>
      </c>
      <c r="D5" s="6" t="n">
        <f aca="false">IFERROR(C5/B5,0)</f>
        <v>0.024</v>
      </c>
      <c r="E5" s="2" t="n">
        <f aca="false">SUMIFS(Pipeline!$R$2:$R$601,Pipeline!$J$2:$J$601,A5,Pipeline!$Q$2:$Q$601,"Closed Won")</f>
        <v>2559000</v>
      </c>
    </row>
    <row r="6" customFormat="false" ht="15" hidden="false" customHeight="false" outlineLevel="0" collapsed="false">
      <c r="A6" s="0" t="s">
        <v>59</v>
      </c>
      <c r="B6" s="0" t="n">
        <f aca="false">COUNTIFS(Pipeline!$J$2:$J$601,A6)</f>
        <v>124</v>
      </c>
      <c r="C6" s="0" t="n">
        <f aca="false">COUNTIFS(Pipeline!$J$2:$J$601,A6,Pipeline!$Q$2:$Q$601,"Closed Won")</f>
        <v>15</v>
      </c>
      <c r="D6" s="6" t="n">
        <f aca="false">IFERROR(C6/B6,0)</f>
        <v>0.120967741935484</v>
      </c>
      <c r="E6" s="2" t="n">
        <f aca="false">SUMIFS(Pipeline!$R$2:$R$601,Pipeline!$J$2:$J$601,A6,Pipeline!$Q$2:$Q$601,"Closed Won")</f>
        <v>7312000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2" style="0" width="20"/>
    <col collapsed="false" customWidth="true" hidden="false" outlineLevel="0" max="6" min="6" style="0" width="26"/>
  </cols>
  <sheetData>
    <row r="2" customFormat="false" ht="17.35" hidden="false" customHeight="false" outlineLevel="0" collapsed="false">
      <c r="B2" s="5" t="s">
        <v>1726</v>
      </c>
      <c r="C2" s="5"/>
      <c r="D2" s="5"/>
      <c r="E2" s="5"/>
      <c r="F2" s="5"/>
    </row>
    <row r="4" customFormat="false" ht="15" hidden="false" customHeight="false" outlineLevel="0" collapsed="false">
      <c r="B4" s="9" t="s">
        <v>1727</v>
      </c>
      <c r="C4" s="9" t="s">
        <v>1728</v>
      </c>
      <c r="D4" s="9" t="s">
        <v>1729</v>
      </c>
      <c r="E4" s="9" t="s">
        <v>1730</v>
      </c>
      <c r="F4" s="9" t="s">
        <v>1731</v>
      </c>
    </row>
    <row r="5" customFormat="false" ht="15" hidden="false" customHeight="false" outlineLevel="0" collapsed="false">
      <c r="B5" s="10" t="n">
        <v>1</v>
      </c>
      <c r="C5" s="10" t="s">
        <v>1732</v>
      </c>
      <c r="D5" s="10" t="s">
        <v>1733</v>
      </c>
      <c r="E5" s="10" t="s">
        <v>1734</v>
      </c>
      <c r="F5" s="10" t="s">
        <v>1735</v>
      </c>
    </row>
    <row r="6" customFormat="false" ht="23.85" hidden="false" customHeight="false" outlineLevel="0" collapsed="false">
      <c r="B6" s="10" t="n">
        <v>3</v>
      </c>
      <c r="C6" s="10" t="s">
        <v>1736</v>
      </c>
      <c r="D6" s="10" t="s">
        <v>1737</v>
      </c>
      <c r="E6" s="10" t="s">
        <v>1738</v>
      </c>
      <c r="F6" s="10" t="s">
        <v>1739</v>
      </c>
    </row>
    <row r="7" customFormat="false" ht="23.85" hidden="false" customHeight="false" outlineLevel="0" collapsed="false">
      <c r="B7" s="10" t="n">
        <v>5</v>
      </c>
      <c r="C7" s="10" t="s">
        <v>1740</v>
      </c>
      <c r="D7" s="10" t="s">
        <v>1741</v>
      </c>
      <c r="E7" s="10" t="s">
        <v>1742</v>
      </c>
      <c r="F7" s="10" t="s">
        <v>1743</v>
      </c>
    </row>
    <row r="10" customFormat="false" ht="15" hidden="false" customHeight="false" outlineLevel="0" collapsed="false">
      <c r="B10" s="7" t="s">
        <v>1744</v>
      </c>
    </row>
    <row r="11" customFormat="false" ht="15" hidden="false" customHeight="false" outlineLevel="0" collapsed="false">
      <c r="B11" s="9" t="s">
        <v>1745</v>
      </c>
      <c r="C11" s="9" t="s">
        <v>1709</v>
      </c>
      <c r="D11" s="9" t="s">
        <v>1721</v>
      </c>
      <c r="E11" s="9" t="s">
        <v>1722</v>
      </c>
    </row>
    <row r="12" customFormat="false" ht="15" hidden="false" customHeight="false" outlineLevel="0" collapsed="false">
      <c r="B12" s="0" t="s">
        <v>1746</v>
      </c>
      <c r="C12" s="0" t="n">
        <f aca="false">COUNTIFS(Pipeline!$O$2:$O$601,"&gt;="&amp;0,Pipeline!$O$2:$O$601,"&lt;="&amp;10)</f>
        <v>308</v>
      </c>
      <c r="D12" s="0" t="n">
        <f aca="false">COUNTIFS(Pipeline!$O$2:$O$601,"&gt;="&amp;0,Pipeline!$O$2:$O$601,"&lt;="&amp;10,Pipeline!$Q$2:$Q$601,"Closed Won")</f>
        <v>8</v>
      </c>
      <c r="E12" s="6" t="n">
        <f aca="false">IFERROR(D12/C12,0)</f>
        <v>0.025974025974026</v>
      </c>
    </row>
    <row r="13" customFormat="false" ht="15" hidden="false" customHeight="false" outlineLevel="0" collapsed="false">
      <c r="B13" s="0" t="s">
        <v>1747</v>
      </c>
      <c r="C13" s="0" t="n">
        <f aca="false">COUNTIFS(Pipeline!$O$2:$O$601,"&gt;="&amp;11,Pipeline!$O$2:$O$601,"&lt;="&amp;14)</f>
        <v>204</v>
      </c>
      <c r="D13" s="0" t="n">
        <f aca="false">COUNTIFS(Pipeline!$O$2:$O$601,"&gt;="&amp;11,Pipeline!$O$2:$O$601,"&lt;="&amp;14,Pipeline!$Q$2:$Q$601,"Closed Won")</f>
        <v>17</v>
      </c>
      <c r="E13" s="6" t="n">
        <f aca="false">IFERROR(D13/C13,0)</f>
        <v>0.0833333333333333</v>
      </c>
    </row>
    <row r="14" customFormat="false" ht="15" hidden="false" customHeight="false" outlineLevel="0" collapsed="false">
      <c r="B14" s="0" t="s">
        <v>1748</v>
      </c>
      <c r="C14" s="0" t="n">
        <f aca="false">COUNTIFS(Pipeline!$O$2:$O$601,"&gt;="&amp;15,Pipeline!$O$2:$O$601,"&lt;="&amp;17)</f>
        <v>68</v>
      </c>
      <c r="D14" s="0" t="n">
        <f aca="false">COUNTIFS(Pipeline!$O$2:$O$601,"&gt;="&amp;15,Pipeline!$O$2:$O$601,"&lt;="&amp;17,Pipeline!$Q$2:$Q$601,"Closed Won")</f>
        <v>9</v>
      </c>
      <c r="E14" s="6" t="n">
        <f aca="false">IFERROR(D14/C14,0)</f>
        <v>0.132352941176471</v>
      </c>
    </row>
    <row r="15" customFormat="false" ht="15" hidden="false" customHeight="false" outlineLevel="0" collapsed="false">
      <c r="B15" s="0" t="s">
        <v>1749</v>
      </c>
      <c r="C15" s="0" t="n">
        <f aca="false">COUNTIFS(Pipeline!$O$2:$O$601,"&gt;="&amp;18,Pipeline!$O$2:$O$601,"&lt;="&amp;20)</f>
        <v>20</v>
      </c>
      <c r="D15" s="0" t="n">
        <f aca="false">COUNTIFS(Pipeline!$O$2:$O$601,"&gt;="&amp;18,Pipeline!$O$2:$O$601,"&lt;="&amp;20,Pipeline!$Q$2:$Q$601,"Closed Won")</f>
        <v>6</v>
      </c>
      <c r="E15" s="6" t="n">
        <f aca="false">IFERROR(D15/C15,0)</f>
        <v>0.3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4"/>
  </cols>
  <sheetData>
    <row r="1" customFormat="false" ht="15" hidden="false" customHeight="false" outlineLevel="0" collapsed="false">
      <c r="A1" s="8" t="s">
        <v>23</v>
      </c>
      <c r="B1" s="8" t="s">
        <v>1750</v>
      </c>
      <c r="C1" s="8" t="s">
        <v>1751</v>
      </c>
    </row>
    <row r="2" customFormat="false" ht="15" hidden="false" customHeight="false" outlineLevel="0" collapsed="false">
      <c r="A2" s="0" t="s">
        <v>310</v>
      </c>
      <c r="B2" s="0" t="n">
        <f aca="false">COUNTIFS(Pipeline!$X$2:$X$601,A2)</f>
        <v>10</v>
      </c>
      <c r="C2" s="2" t="n">
        <f aca="false">SUMIFS(Pipeline!$R$2:$R$601,Pipeline!$X$2:$X$601,A2)</f>
        <v>7536000</v>
      </c>
    </row>
    <row r="3" customFormat="false" ht="15" hidden="false" customHeight="false" outlineLevel="0" collapsed="false">
      <c r="A3" s="0" t="s">
        <v>49</v>
      </c>
      <c r="B3" s="0" t="n">
        <f aca="false">COUNTIFS(Pipeline!$X$2:$X$601,A3)</f>
        <v>23</v>
      </c>
      <c r="C3" s="2" t="n">
        <f aca="false">SUMIFS(Pipeline!$R$2:$R$601,Pipeline!$X$2:$X$601,A3)</f>
        <v>16668000</v>
      </c>
    </row>
    <row r="4" customFormat="false" ht="15" hidden="false" customHeight="false" outlineLevel="0" collapsed="false">
      <c r="A4" s="0" t="s">
        <v>257</v>
      </c>
      <c r="B4" s="0" t="n">
        <f aca="false">COUNTIFS(Pipeline!$X$2:$X$601,A4)</f>
        <v>32</v>
      </c>
      <c r="C4" s="2" t="n">
        <f aca="false">SUMIFS(Pipeline!$R$2:$R$601,Pipeline!$X$2:$X$601,A4)</f>
        <v>26354000</v>
      </c>
    </row>
    <row r="5" customFormat="false" ht="15" hidden="false" customHeight="false" outlineLevel="0" collapsed="false">
      <c r="A5" s="0" t="s">
        <v>443</v>
      </c>
      <c r="B5" s="0" t="n">
        <f aca="false">COUNTIFS(Pipeline!$X$2:$X$601,A5)</f>
        <v>12</v>
      </c>
      <c r="C5" s="2" t="n">
        <f aca="false">SUMIFS(Pipeline!$R$2:$R$601,Pipeline!$X$2:$X$601,A5)</f>
        <v>9764000</v>
      </c>
    </row>
    <row r="6" customFormat="false" ht="15" hidden="false" customHeight="false" outlineLevel="0" collapsed="false">
      <c r="A6" s="0" t="s">
        <v>326</v>
      </c>
      <c r="B6" s="0" t="n">
        <f aca="false">COUNTIFS(Pipeline!$X$2:$X$601,A6)</f>
        <v>28</v>
      </c>
      <c r="C6" s="2" t="n">
        <f aca="false">SUMIFS(Pipeline!$R$2:$R$601,Pipeline!$X$2:$X$601,A6)</f>
        <v>17314000</v>
      </c>
    </row>
    <row r="7" customFormat="false" ht="15" hidden="false" customHeight="false" outlineLevel="0" collapsed="false">
      <c r="A7" s="0" t="s">
        <v>81</v>
      </c>
      <c r="B7" s="0" t="n">
        <f aca="false">COUNTIFS(Pipeline!$X$2:$X$601,A7)</f>
        <v>9</v>
      </c>
      <c r="C7" s="2" t="n">
        <f aca="false">SUMIFS(Pipeline!$R$2:$R$601,Pipeline!$X$2:$X$601,A7)</f>
        <v>5117000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2026-08-15T09:32:02Z</dcterms:created>
  <dc:creator>openpyxl</dc:creator>
  <dc:description/>
  <dc:language>en-US</dc:language>
  <cp:lastModifiedBy/>
  <dcterms:modified xsi:type="dcterms:W3CDTF">2026-08-15T09:32:02Z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